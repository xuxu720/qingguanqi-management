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0030" tabRatio="888"/>
  </bookViews>
  <sheets>
    <sheet name="液体计算" sheetId="6" r:id="rId1"/>
    <sheet name="气体计算" sheetId="20" r:id="rId2"/>
    <sheet name="石兰线" sheetId="14" r:id="rId3"/>
    <sheet name="鄯兰线" sheetId="15" r:id="rId4"/>
    <sheet name="兰成线" sheetId="3" r:id="rId5"/>
    <sheet name="乌兰线" sheetId="1" r:id="rId6"/>
    <sheet name="兰成渝" sheetId="21" r:id="rId7"/>
    <sheet name="兰郑长" sheetId="22" r:id="rId8"/>
    <sheet name="西一线" sheetId="7" r:id="rId9"/>
    <sheet name="西二线" sheetId="8" r:id="rId10"/>
    <sheet name="西三线" sheetId="10" r:id="rId11"/>
    <sheet name="西四线" sheetId="24" r:id="rId12"/>
    <sheet name="涩宁兰一线" sheetId="11" r:id="rId13"/>
    <sheet name="涩宁兰复线" sheetId="12" r:id="rId14"/>
    <sheet name="压缩因子" sheetId="19" r:id="rId15"/>
    <sheet name="油品分输时间" sheetId="23" r:id="rId16"/>
  </sheets>
  <externalReferences>
    <externalReference r:id="rId1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<sst xmlns="http://schemas.openxmlformats.org/spreadsheetml/2006/main" count="1840" uniqueCount="890">
  <si>
    <t>液体管道清管器到达时间计算</t>
  </si>
  <si>
    <t>序号</t>
  </si>
  <si>
    <t>管线</t>
  </si>
  <si>
    <r>
      <rPr>
        <b/>
        <sz val="14"/>
        <rFont val="仿宋"/>
        <charset val="134"/>
      </rPr>
      <t>起始站(阀室)</t>
    </r>
    <r>
      <rPr>
        <b/>
        <sz val="14"/>
        <color rgb="FFFF0000"/>
        <rFont val="仿宋"/>
        <charset val="134"/>
      </rPr>
      <t>下拉选择</t>
    </r>
  </si>
  <si>
    <r>
      <rPr>
        <b/>
        <sz val="14"/>
        <rFont val="仿宋"/>
        <charset val="134"/>
      </rPr>
      <t>对应里程</t>
    </r>
    <r>
      <rPr>
        <b/>
        <sz val="14"/>
        <color rgb="FFFF0000"/>
        <rFont val="仿宋"/>
        <charset val="134"/>
      </rPr>
      <t>(请勿填写)</t>
    </r>
  </si>
  <si>
    <r>
      <rPr>
        <b/>
        <sz val="14"/>
        <rFont val="仿宋"/>
        <charset val="134"/>
      </rPr>
      <t>到达站(阀室)</t>
    </r>
    <r>
      <rPr>
        <b/>
        <sz val="14"/>
        <color rgb="FFFF0000"/>
        <rFont val="仿宋"/>
        <charset val="134"/>
      </rPr>
      <t>下拉选择</t>
    </r>
  </si>
  <si>
    <r>
      <rPr>
        <b/>
        <sz val="14"/>
        <rFont val="仿宋"/>
        <charset val="134"/>
      </rPr>
      <t xml:space="preserve">站间距   </t>
    </r>
    <r>
      <rPr>
        <b/>
        <sz val="14"/>
        <color rgb="FFFF0000"/>
        <rFont val="仿宋"/>
        <charset val="134"/>
      </rPr>
      <t>(请勿填写)</t>
    </r>
  </si>
  <si>
    <r>
      <rPr>
        <b/>
        <sz val="14"/>
        <rFont val="仿宋"/>
        <charset val="134"/>
      </rPr>
      <t>单位管容</t>
    </r>
    <r>
      <rPr>
        <b/>
        <sz val="14"/>
        <color rgb="FFFF0000"/>
        <rFont val="仿宋"/>
        <charset val="134"/>
      </rPr>
      <t>(请勿填写)</t>
    </r>
  </si>
  <si>
    <t>清管器速度</t>
  </si>
  <si>
    <t>排量</t>
  </si>
  <si>
    <t>发出时间</t>
  </si>
  <si>
    <r>
      <rPr>
        <b/>
        <sz val="14"/>
        <rFont val="仿宋"/>
        <charset val="134"/>
      </rPr>
      <t xml:space="preserve">预计到达实际   </t>
    </r>
    <r>
      <rPr>
        <b/>
        <sz val="14"/>
        <color rgb="FFFF0000"/>
        <rFont val="仿宋"/>
        <charset val="134"/>
      </rPr>
      <t>(请勿填写)</t>
    </r>
  </si>
  <si>
    <t>石兰原油线</t>
  </si>
  <si>
    <t>沙坡头</t>
  </si>
  <si>
    <t>红湾站</t>
  </si>
  <si>
    <t>鄯兰原油线</t>
  </si>
  <si>
    <t>49#阀室</t>
  </si>
  <si>
    <t>兰州末站</t>
  </si>
  <si>
    <t>兰成原油线</t>
  </si>
  <si>
    <t>9#阀室（手动）</t>
  </si>
  <si>
    <t>武山站</t>
  </si>
  <si>
    <t>乌兰成品油</t>
  </si>
  <si>
    <t>48#阀室</t>
  </si>
  <si>
    <t>兰成渝</t>
  </si>
  <si>
    <t>临洮站</t>
  </si>
  <si>
    <t>陇西站</t>
  </si>
  <si>
    <t>兰郑长</t>
  </si>
  <si>
    <t>兰州站</t>
  </si>
  <si>
    <t>定西站</t>
  </si>
  <si>
    <t>红湾</t>
  </si>
  <si>
    <t>景泰</t>
  </si>
  <si>
    <t>四墩</t>
  </si>
  <si>
    <t>石兰脏油</t>
  </si>
  <si>
    <t>石空</t>
  </si>
  <si>
    <t>v速度=Q输量/管容</t>
  </si>
  <si>
    <t>气体管道清管器到达时间计算</t>
  </si>
  <si>
    <r>
      <rPr>
        <b/>
        <sz val="12"/>
        <rFont val="仿宋"/>
        <charset val="134"/>
      </rPr>
      <t>起始站(阀室)</t>
    </r>
    <r>
      <rPr>
        <b/>
        <sz val="12"/>
        <color rgb="FFFF0000"/>
        <rFont val="仿宋"/>
        <charset val="134"/>
      </rPr>
      <t>下拉选择</t>
    </r>
  </si>
  <si>
    <r>
      <rPr>
        <b/>
        <sz val="12"/>
        <rFont val="仿宋"/>
        <charset val="134"/>
      </rPr>
      <t>对应里程</t>
    </r>
    <r>
      <rPr>
        <b/>
        <sz val="12"/>
        <color rgb="FFFF0000"/>
        <rFont val="仿宋"/>
        <charset val="134"/>
      </rPr>
      <t>(请勿填写)</t>
    </r>
  </si>
  <si>
    <t>出站压力Mpa</t>
  </si>
  <si>
    <r>
      <rPr>
        <b/>
        <sz val="12"/>
        <rFont val="仿宋"/>
        <charset val="134"/>
      </rPr>
      <t>到达站(阀室)</t>
    </r>
    <r>
      <rPr>
        <b/>
        <sz val="12"/>
        <color rgb="FFFF0000"/>
        <rFont val="仿宋"/>
        <charset val="134"/>
      </rPr>
      <t>下拉选择</t>
    </r>
  </si>
  <si>
    <t>进站压力Mpa</t>
  </si>
  <si>
    <t>平均压力Mpa</t>
  </si>
  <si>
    <t>压缩因子</t>
  </si>
  <si>
    <t>管道内径mm</t>
  </si>
  <si>
    <r>
      <rPr>
        <b/>
        <sz val="12"/>
        <rFont val="仿宋"/>
        <charset val="134"/>
      </rPr>
      <t xml:space="preserve">站间距   </t>
    </r>
    <r>
      <rPr>
        <b/>
        <sz val="12"/>
        <color rgb="FFFF0000"/>
        <rFont val="仿宋"/>
        <charset val="134"/>
      </rPr>
      <t>(请勿填写)</t>
    </r>
  </si>
  <si>
    <r>
      <rPr>
        <b/>
        <sz val="12"/>
        <rFont val="仿宋"/>
        <charset val="134"/>
      </rPr>
      <t>输气量10</t>
    </r>
    <r>
      <rPr>
        <b/>
        <vertAlign val="superscript"/>
        <sz val="12"/>
        <rFont val="仿宋"/>
        <charset val="134"/>
      </rPr>
      <t>4</t>
    </r>
    <r>
      <rPr>
        <b/>
        <sz val="12"/>
        <rFont val="仿宋"/>
        <charset val="134"/>
      </rPr>
      <t>Nm</t>
    </r>
    <r>
      <rPr>
        <b/>
        <vertAlign val="superscript"/>
        <sz val="12"/>
        <rFont val="仿宋"/>
        <charset val="134"/>
      </rPr>
      <t>3</t>
    </r>
  </si>
  <si>
    <t>理论速度Km/h</t>
  </si>
  <si>
    <r>
      <rPr>
        <b/>
        <sz val="12"/>
        <rFont val="仿宋"/>
        <charset val="134"/>
      </rPr>
      <t xml:space="preserve">预计到达实际    </t>
    </r>
    <r>
      <rPr>
        <b/>
        <sz val="12"/>
        <color rgb="FFFF0000"/>
        <rFont val="仿宋"/>
        <charset val="134"/>
      </rPr>
      <t>(请勿填写)</t>
    </r>
  </si>
  <si>
    <t>西一线</t>
  </si>
  <si>
    <t>山丹压气站</t>
  </si>
  <si>
    <t>古浪压气站</t>
  </si>
  <si>
    <t>西二线</t>
  </si>
  <si>
    <t>张掖分输压气站</t>
  </si>
  <si>
    <t>永昌压气站</t>
  </si>
  <si>
    <t>西三线</t>
  </si>
  <si>
    <t>西四线</t>
  </si>
  <si>
    <t>红柳压气站</t>
  </si>
  <si>
    <t>嘉峪关压气站</t>
  </si>
  <si>
    <t>涩宁兰一线</t>
  </si>
  <si>
    <t>湖东压气站</t>
  </si>
  <si>
    <t>西宁分输站</t>
  </si>
  <si>
    <t>涩宁兰复线</t>
  </si>
  <si>
    <t>35#阀室</t>
  </si>
  <si>
    <t>气体管道清管器到达时间计算（分输支线）</t>
  </si>
  <si>
    <t>到达站(阀室)</t>
  </si>
  <si>
    <t>对应里程</t>
  </si>
  <si>
    <t>站间距</t>
  </si>
  <si>
    <t>中卫压气站</t>
  </si>
  <si>
    <t>1182.2</t>
  </si>
  <si>
    <t>西二线金昌分输支线</t>
  </si>
  <si>
    <t>61#阀室</t>
  </si>
  <si>
    <t>金昌分输站
（金昌末站）</t>
  </si>
  <si>
    <t>金昌分输</t>
  </si>
  <si>
    <t>管径-壁厚*2</t>
  </si>
  <si>
    <t>管道科提供数据</t>
  </si>
  <si>
    <t>看站控机</t>
  </si>
  <si>
    <t>乌鄯原油管道清管器跟踪时间记录表</t>
  </si>
  <si>
    <t>场站/阀室</t>
  </si>
  <si>
    <r>
      <rPr>
        <b/>
        <sz val="14"/>
        <color indexed="8"/>
        <rFont val="宋体"/>
        <charset val="134"/>
      </rPr>
      <t>里程数(</t>
    </r>
    <r>
      <rPr>
        <b/>
        <sz val="14"/>
        <color indexed="8"/>
        <rFont val="宋体"/>
        <charset val="134"/>
      </rPr>
      <t>km)</t>
    </r>
  </si>
  <si>
    <t>与上一测试桩相对距离（公里）</t>
  </si>
  <si>
    <t>单位管容（m³）</t>
  </si>
  <si>
    <t>对应管容（m³）</t>
  </si>
  <si>
    <t>2#阀室(手动)</t>
  </si>
  <si>
    <t>3#阀室(手动)</t>
  </si>
  <si>
    <t>4#阀室（手动)</t>
  </si>
  <si>
    <t>景泰站</t>
  </si>
  <si>
    <t>5#阀室（手动、高点）</t>
  </si>
  <si>
    <t>6#阀室(RTU)</t>
  </si>
  <si>
    <t>四墩站</t>
  </si>
  <si>
    <t>7#阀室(手动）</t>
  </si>
  <si>
    <t>8#阀室（手动）</t>
  </si>
  <si>
    <t>9#阀室（RTU)</t>
  </si>
  <si>
    <t>鄯兰原油管道清管器跟踪时间记录表</t>
  </si>
  <si>
    <t>鄯善站</t>
  </si>
  <si>
    <t>10#阀室（手动）</t>
  </si>
  <si>
    <t>11#阀室（RTU、流量计)</t>
  </si>
  <si>
    <t>12#阀室(手动）</t>
  </si>
  <si>
    <t>13#阀室（手动）</t>
  </si>
  <si>
    <t>14#阀室（RTU)</t>
  </si>
  <si>
    <t>四堡站</t>
  </si>
  <si>
    <t>15#阀室(RTU、分输)</t>
  </si>
  <si>
    <t>15A阀室(手动）</t>
  </si>
  <si>
    <t>16#阀室（手动）</t>
  </si>
  <si>
    <t>17#阀室（手动、单向）</t>
  </si>
  <si>
    <t>翠岭站</t>
  </si>
  <si>
    <t>18#阀室（手动、单向）</t>
  </si>
  <si>
    <t>河西站</t>
  </si>
  <si>
    <t>19#阀室</t>
  </si>
  <si>
    <t>20#阀室</t>
  </si>
  <si>
    <t>2#高点</t>
  </si>
  <si>
    <t>21#阀室</t>
  </si>
  <si>
    <t>22#阀室</t>
  </si>
  <si>
    <t>23#阀室</t>
  </si>
  <si>
    <t>24#阀室</t>
  </si>
  <si>
    <t>瓜州站</t>
  </si>
  <si>
    <t>25#阀室</t>
  </si>
  <si>
    <t>26#阀室</t>
  </si>
  <si>
    <t>玉门站</t>
  </si>
  <si>
    <t>27#阀室</t>
  </si>
  <si>
    <t>3#高点</t>
  </si>
  <si>
    <t>28#阀室</t>
  </si>
  <si>
    <t>29#阀室</t>
  </si>
  <si>
    <t>30#阀室</t>
  </si>
  <si>
    <t>31#阀室</t>
  </si>
  <si>
    <t>32#阀室</t>
  </si>
  <si>
    <t>33#阀室</t>
  </si>
  <si>
    <t>34#阀室</t>
  </si>
  <si>
    <t>张掖站</t>
  </si>
  <si>
    <t>36#阀室</t>
  </si>
  <si>
    <t>37#阀室</t>
  </si>
  <si>
    <t>山丹站</t>
  </si>
  <si>
    <t>38#阀室</t>
  </si>
  <si>
    <t>4#高点</t>
  </si>
  <si>
    <t>39#阀室</t>
  </si>
  <si>
    <t>40#阀室</t>
  </si>
  <si>
    <t>41#阀室</t>
  </si>
  <si>
    <t>42#阀室</t>
  </si>
  <si>
    <t>43#阀室</t>
  </si>
  <si>
    <t>西靖站</t>
  </si>
  <si>
    <t>44#阀室</t>
  </si>
  <si>
    <t>新堡站</t>
  </si>
  <si>
    <t>5#高点</t>
  </si>
  <si>
    <t>45#阀室</t>
  </si>
  <si>
    <t>46#阀室</t>
  </si>
  <si>
    <t>47#阀室</t>
  </si>
  <si>
    <t>46A阀室</t>
  </si>
  <si>
    <t>1794+300M</t>
  </si>
  <si>
    <t>轮库原油复线管道清管器跟踪时间记录表</t>
  </si>
  <si>
    <t>位置</t>
  </si>
  <si>
    <r>
      <rPr>
        <b/>
        <sz val="14"/>
        <color indexed="8"/>
        <rFont val="宋体"/>
        <charset val="134"/>
      </rPr>
      <t>里程位置(</t>
    </r>
    <r>
      <rPr>
        <b/>
        <sz val="14"/>
        <color indexed="8"/>
        <rFont val="宋体"/>
        <charset val="134"/>
      </rPr>
      <t>km)</t>
    </r>
  </si>
  <si>
    <t>单位管容</t>
  </si>
  <si>
    <t>兰州</t>
  </si>
  <si>
    <t>1#阀室（单向）</t>
  </si>
  <si>
    <t>2#阀室（手动）</t>
  </si>
  <si>
    <t>3#阀室（RTU）</t>
  </si>
  <si>
    <t>4#阀室（RTU）</t>
  </si>
  <si>
    <t>5#阀室（单向）</t>
  </si>
  <si>
    <t>6#阀室（RTU）</t>
  </si>
  <si>
    <t>7#阀室（单向）</t>
  </si>
  <si>
    <t>10#阀室（RTU）</t>
  </si>
  <si>
    <t>11#阀室（单向）</t>
  </si>
  <si>
    <t>12#阀室（手动）</t>
  </si>
  <si>
    <t>13#阀室（RTU）</t>
  </si>
  <si>
    <t>14#阀室（单向）</t>
  </si>
  <si>
    <t>15#阀室（手动）</t>
  </si>
  <si>
    <t>小川站（手动）</t>
  </si>
  <si>
    <t>17#阀室（RTU）</t>
  </si>
  <si>
    <t>18#阀室（手动）</t>
  </si>
  <si>
    <t>19#阀室（RTU）</t>
  </si>
  <si>
    <t>20#阀室（RTU）</t>
  </si>
  <si>
    <t>21#阀室（RTU）</t>
  </si>
  <si>
    <t>22#阀室（RTU）</t>
  </si>
  <si>
    <t>广元站</t>
  </si>
  <si>
    <t>乌兰成品油管道清管器跟踪时间记录表</t>
  </si>
  <si>
    <t>乌首站</t>
  </si>
  <si>
    <t>1#阀室(RTU)</t>
  </si>
  <si>
    <t>2#（手动）</t>
  </si>
  <si>
    <t>达坂城RTU（3#阀室）</t>
  </si>
  <si>
    <t>1#高点</t>
  </si>
  <si>
    <t>4#阀室（RTU)</t>
  </si>
  <si>
    <t>5#手动、分输、流量</t>
  </si>
  <si>
    <t>7#阀室(RTU)</t>
  </si>
  <si>
    <t>8#阀室(手动）</t>
  </si>
  <si>
    <t>兰成渝线沿线阀室里程</t>
  </si>
  <si>
    <t>里程位置(km)</t>
  </si>
  <si>
    <t>186</t>
  </si>
  <si>
    <t>孟家山阀室</t>
  </si>
  <si>
    <t>马家山阀室</t>
  </si>
  <si>
    <t>关山高点</t>
  </si>
  <si>
    <t>何家湾阀室</t>
  </si>
  <si>
    <t>水泉阀室</t>
  </si>
  <si>
    <t>东十里铺阀室</t>
  </si>
  <si>
    <t>庆平阀室</t>
  </si>
  <si>
    <t>营盘梁阀室</t>
  </si>
  <si>
    <t>渭源北阀室</t>
  </si>
  <si>
    <t>三十里铺阀室</t>
  </si>
  <si>
    <t>高林堡阀室</t>
  </si>
  <si>
    <t>七家砚高点</t>
  </si>
  <si>
    <t>党家沟阀室</t>
  </si>
  <si>
    <t>马家村阀室</t>
  </si>
  <si>
    <t>大庄阀室</t>
  </si>
  <si>
    <t>三县梁高点</t>
  </si>
  <si>
    <t>固城阀室</t>
  </si>
  <si>
    <t>宋家河阀室</t>
  </si>
  <si>
    <t>小河子阀室</t>
  </si>
  <si>
    <t>马原乡阀室</t>
  </si>
  <si>
    <t>马家大山高点</t>
  </si>
  <si>
    <t>赵家坝阀室</t>
  </si>
  <si>
    <t>抛沙河阀室</t>
  </si>
  <si>
    <t>成县站</t>
  </si>
  <si>
    <t>化垭高点</t>
  </si>
  <si>
    <t>犀牛江1阀室</t>
  </si>
  <si>
    <t>犀牛江2阀室</t>
  </si>
  <si>
    <t>康县南阀室</t>
  </si>
  <si>
    <t>牛头山高点</t>
  </si>
  <si>
    <t>秧田西阀室</t>
  </si>
  <si>
    <t>阳坝阀室</t>
  </si>
  <si>
    <t>安乐河阀室</t>
  </si>
  <si>
    <t>广坪阀室</t>
  </si>
  <si>
    <t>羊膜阀室</t>
  </si>
  <si>
    <t>克-703-独线沿线阀室里程</t>
  </si>
  <si>
    <t>关山站</t>
  </si>
  <si>
    <t>2#阀室</t>
  </si>
  <si>
    <t>4#阀室</t>
  </si>
  <si>
    <t>5#阀室</t>
  </si>
  <si>
    <t>6#阀室</t>
  </si>
  <si>
    <t>7#阀室（RTU）</t>
  </si>
  <si>
    <t>8#阀室（RTU）</t>
  </si>
  <si>
    <t>9#阀室</t>
  </si>
  <si>
    <t>10#阀室</t>
  </si>
  <si>
    <t>11#阀室</t>
  </si>
  <si>
    <t>12#阀室</t>
  </si>
  <si>
    <t>张家川站</t>
  </si>
  <si>
    <t>固关站</t>
  </si>
  <si>
    <t>西一线站场、阀室与里程桩对应表</t>
  </si>
  <si>
    <t>站场/阀室名称</t>
  </si>
  <si>
    <r>
      <rPr>
        <sz val="11"/>
        <color indexed="8"/>
        <rFont val="宋体"/>
        <charset val="134"/>
      </rPr>
      <t>桩号（阴保桩）</t>
    </r>
    <r>
      <rPr>
        <sz val="11"/>
        <color indexed="10"/>
        <rFont val="宋体"/>
        <charset val="134"/>
      </rPr>
      <t>前一阀室后一桩号-本阀室前一桩号</t>
    </r>
  </si>
  <si>
    <t>里程/km</t>
  </si>
  <si>
    <t>所在行政区域</t>
  </si>
  <si>
    <t>所属作业区</t>
  </si>
  <si>
    <t>备注</t>
  </si>
  <si>
    <t>外径</t>
  </si>
  <si>
    <t>壁厚</t>
  </si>
  <si>
    <t>内径</t>
  </si>
  <si>
    <t>管容</t>
  </si>
  <si>
    <t>轮南压气站</t>
  </si>
  <si>
    <t>库尔勒市（地区）</t>
  </si>
  <si>
    <t>轮南作业区</t>
  </si>
  <si>
    <t>1016</t>
  </si>
  <si>
    <t>14.6</t>
  </si>
  <si>
    <t>986.8</t>
  </si>
  <si>
    <t>764</t>
  </si>
  <si>
    <t>1#阀室</t>
  </si>
  <si>
    <t>0#-32#桩</t>
  </si>
  <si>
    <t>轮南压气站-1#阀室测试桩</t>
  </si>
  <si>
    <t>33#-64#桩</t>
  </si>
  <si>
    <t>1#-2#阀室测试桩</t>
  </si>
  <si>
    <t>3#阀室</t>
  </si>
  <si>
    <t>65#-96#桩</t>
  </si>
  <si>
    <t>2#-3#阀室测试桩</t>
  </si>
  <si>
    <t>97#-129#</t>
  </si>
  <si>
    <t>库尔勒市29团</t>
  </si>
  <si>
    <t>库尔勒作业区</t>
  </si>
  <si>
    <t>130#-160#</t>
  </si>
  <si>
    <t>库尔勒市上户镇</t>
  </si>
  <si>
    <t>孔雀河压气站</t>
  </si>
  <si>
    <t>161#-182#</t>
  </si>
  <si>
    <t>库尔勒市龙山</t>
  </si>
  <si>
    <t>183#-206#</t>
  </si>
  <si>
    <t>库尔勒塔什店镇</t>
  </si>
  <si>
    <t>7#阀室</t>
  </si>
  <si>
    <t>207#-239#</t>
  </si>
  <si>
    <t>库尔勒博湖县博斯腾湖乡</t>
  </si>
  <si>
    <t>8#阀室</t>
  </si>
  <si>
    <t>240#-263#</t>
  </si>
  <si>
    <t>264#-291#</t>
  </si>
  <si>
    <t>库尔勒市和硕县</t>
  </si>
  <si>
    <t>库米什作业区</t>
  </si>
  <si>
    <t>8#-9#阀室测试桩</t>
  </si>
  <si>
    <t>四道班压气站</t>
  </si>
  <si>
    <t>292#-315#</t>
  </si>
  <si>
    <t>9#-四道班压气站测试桩</t>
  </si>
  <si>
    <t>316#-347#</t>
  </si>
  <si>
    <t>吐鲁番地区托克逊县</t>
  </si>
  <si>
    <t>347#-376#</t>
  </si>
  <si>
    <t>376#-404#</t>
  </si>
  <si>
    <t>13#阀室</t>
  </si>
  <si>
    <t>405#-436#</t>
  </si>
  <si>
    <t>吐鲁番艾丁湖乡</t>
  </si>
  <si>
    <t>连木沁作业区</t>
  </si>
  <si>
    <t>14#阀室</t>
  </si>
  <si>
    <t>437#-465#</t>
  </si>
  <si>
    <t>鄯善压气站</t>
  </si>
  <si>
    <t>466#-497#</t>
  </si>
  <si>
    <t>鄯善县迪坎乡</t>
  </si>
  <si>
    <t>15#阀室</t>
  </si>
  <si>
    <t>498#-527#</t>
  </si>
  <si>
    <t>16#阀室</t>
  </si>
  <si>
    <t>528#-554#</t>
  </si>
  <si>
    <t>17#阀室</t>
  </si>
  <si>
    <t>555#-584#</t>
  </si>
  <si>
    <t>吐鲁番</t>
  </si>
  <si>
    <t>了墩作业区</t>
  </si>
  <si>
    <t>18#阀室</t>
  </si>
  <si>
    <t>585#-615#</t>
  </si>
  <si>
    <t>616#-645#</t>
  </si>
  <si>
    <t>哈密压气站</t>
  </si>
  <si>
    <t>646#-662#</t>
  </si>
  <si>
    <t>吐鲁番市</t>
  </si>
  <si>
    <t>663#-678#</t>
  </si>
  <si>
    <t>哈密市</t>
  </si>
  <si>
    <t>679#-709#</t>
  </si>
  <si>
    <t>710#-738#</t>
  </si>
  <si>
    <t>烟墩作业区</t>
  </si>
  <si>
    <t>739#-769#</t>
  </si>
  <si>
    <t>雅满苏压气站</t>
  </si>
  <si>
    <t>770#-801#</t>
  </si>
  <si>
    <t>802#-834#</t>
  </si>
  <si>
    <t>835#-866#</t>
  </si>
  <si>
    <t>867#-898#</t>
  </si>
  <si>
    <t>899#-928#</t>
  </si>
  <si>
    <t>929#-959#</t>
  </si>
  <si>
    <t>酒泉市</t>
  </si>
  <si>
    <t>红柳作业区</t>
  </si>
  <si>
    <t>940#-红柳压气站测试桩</t>
  </si>
  <si>
    <t>960#-992#</t>
  </si>
  <si>
    <t>红柳压气站-29#阀室测试桩</t>
  </si>
  <si>
    <t>993#-1022#</t>
  </si>
  <si>
    <t>29#阀室-30#阀室测试桩</t>
  </si>
  <si>
    <t>1023#-1055#</t>
  </si>
  <si>
    <t>30#阀室-31#阀室测试桩</t>
  </si>
  <si>
    <t>1056#-1084#</t>
  </si>
  <si>
    <t>甘肃省酒泉市瓜州县</t>
  </si>
  <si>
    <t>瓜州作业区</t>
  </si>
  <si>
    <t>31#阀室-32#阀室测试桩</t>
  </si>
  <si>
    <t>柳园压气站</t>
  </si>
  <si>
    <t>1085#-1116#</t>
  </si>
  <si>
    <t>32#阀室-柳园压气站</t>
  </si>
  <si>
    <t>1117#-1141#</t>
  </si>
  <si>
    <t>甘肃省酒泉市瓜州县布隆吉乡</t>
  </si>
  <si>
    <t>柳园压气站-33#阀室测试桩</t>
  </si>
  <si>
    <t>1142#-1170#</t>
  </si>
  <si>
    <t>玉门市柳河乡戈壁</t>
  </si>
  <si>
    <t>玉门作业区</t>
  </si>
  <si>
    <t>33#-34#阀室测试桩</t>
  </si>
  <si>
    <t>1171#-1191#</t>
  </si>
  <si>
    <t>玉门市玉门镇戈壁</t>
  </si>
  <si>
    <t>34#-35#阀室测试桩</t>
  </si>
  <si>
    <t>1192#-1219#</t>
  </si>
  <si>
    <t>玉门市赤金镇戈壁</t>
  </si>
  <si>
    <t>35#-36#阀室测试桩</t>
  </si>
  <si>
    <t>1220#-1243#</t>
  </si>
  <si>
    <t>玉门市赤金镇东湖村戈壁</t>
  </si>
  <si>
    <t>36#-37#阀室测试桩</t>
  </si>
  <si>
    <t>玉门压气站</t>
  </si>
  <si>
    <t>1244#-1270#</t>
  </si>
  <si>
    <t>玉门市清泉村戈壁</t>
  </si>
  <si>
    <t>37#-玉门压气站</t>
  </si>
  <si>
    <t>1282#-1294#</t>
  </si>
  <si>
    <t>连霍高速嘉峪关市黑山湖收费站</t>
  </si>
  <si>
    <t>酒泉作业区</t>
  </si>
  <si>
    <t>玉门压气站-38#阀室</t>
  </si>
  <si>
    <t>1295#-1322#</t>
  </si>
  <si>
    <t>嘉峪关市文殊乡石桥村三组</t>
  </si>
  <si>
    <t>38#阀室-39#阀室</t>
  </si>
  <si>
    <t>1323#-1352#</t>
  </si>
  <si>
    <t>酒泉市上坝镇</t>
  </si>
  <si>
    <t>39#阀室-40#阀室</t>
  </si>
  <si>
    <t>1353#-1379#</t>
  </si>
  <si>
    <t>酒泉市丰乐乡</t>
  </si>
  <si>
    <t>40#阀室-41#阀室</t>
  </si>
  <si>
    <t>1380#-1404#</t>
  </si>
  <si>
    <t>酒泉市南屯升乡</t>
  </si>
  <si>
    <t>41#阀室-42#阀室</t>
  </si>
  <si>
    <t>1405#-1436#</t>
  </si>
  <si>
    <t>张掖市</t>
  </si>
  <si>
    <t>张掖作业区</t>
  </si>
  <si>
    <t>42#阀室-43#阀室</t>
  </si>
  <si>
    <t>酒泉压气站</t>
  </si>
  <si>
    <t>1437#-1467#</t>
  </si>
  <si>
    <t>43#阀室-酒泉压气站</t>
  </si>
  <si>
    <t>1468#-1489#</t>
  </si>
  <si>
    <t>酒泉压气站-44#阀室</t>
  </si>
  <si>
    <t>1490#-1509#</t>
  </si>
  <si>
    <t>44#阀室-45#阀室</t>
  </si>
  <si>
    <t>1510#-1534#</t>
  </si>
  <si>
    <t>45#阀室-46#阀室</t>
  </si>
  <si>
    <t>1535#-1556#</t>
  </si>
  <si>
    <t>张掖市山丹县东乐乡西屯村</t>
  </si>
  <si>
    <t>山丹作业区</t>
  </si>
  <si>
    <t>1557#-1585#</t>
  </si>
  <si>
    <t>张掖市山丹县清泉镇南湖村</t>
  </si>
  <si>
    <t>1586#-1609#</t>
  </si>
  <si>
    <t>张掖市山丹县陈户乡东门村</t>
  </si>
  <si>
    <t>1610#-1640#</t>
  </si>
  <si>
    <t>张掖市山丹县老军乡羊虎沟村</t>
  </si>
  <si>
    <t>50#阀室</t>
  </si>
  <si>
    <t>1639#-1664#</t>
  </si>
  <si>
    <t>金昌市永昌县焦家庄乡王南庄村</t>
  </si>
  <si>
    <t>永昌作业区</t>
  </si>
  <si>
    <t>51#阀室</t>
  </si>
  <si>
    <t>1665#-1688#</t>
  </si>
  <si>
    <t>金昌市永昌县城关镇种羊场</t>
  </si>
  <si>
    <t>金昌压气站</t>
  </si>
  <si>
    <t>1689#-1716#</t>
  </si>
  <si>
    <t>金昌市永昌想六坝乡南庄村</t>
  </si>
  <si>
    <t>53#阀室</t>
  </si>
  <si>
    <t>1717#-1744#</t>
  </si>
  <si>
    <t>武威市凉州区怀安乡芦家沟村</t>
  </si>
  <si>
    <t>54#阀室</t>
  </si>
  <si>
    <t>1745#-1777#</t>
  </si>
  <si>
    <t>武威市凉州区武南镇白塔村</t>
  </si>
  <si>
    <t>55#阀室</t>
  </si>
  <si>
    <t>1778#-1808#</t>
  </si>
  <si>
    <t>古浪县土门镇</t>
  </si>
  <si>
    <t>古浪作业区</t>
  </si>
  <si>
    <t>古浪作业区所辖西一线管道从1803桩开始</t>
  </si>
  <si>
    <t>1809#-1843#</t>
  </si>
  <si>
    <t>古浪县大靖镇李家湾村</t>
  </si>
  <si>
    <t>56#阀室</t>
  </si>
  <si>
    <t>1844-1874#</t>
  </si>
  <si>
    <t>古浪县直滩乡大岭村</t>
  </si>
  <si>
    <t>57#阀室</t>
  </si>
  <si>
    <t>1875#-1902#</t>
  </si>
  <si>
    <t>景泰县上沙窝镇白墩子村</t>
  </si>
  <si>
    <t>58#阀室</t>
  </si>
  <si>
    <t>1903#-1922#</t>
  </si>
  <si>
    <t>白银市景泰县漫水滩乡</t>
  </si>
  <si>
    <t>西二线站场、阀室与里程桩对应表</t>
  </si>
  <si>
    <t>霍尔果斯首站</t>
  </si>
  <si>
    <t>0</t>
  </si>
  <si>
    <t>霍城县</t>
  </si>
  <si>
    <t>霍尔果斯作业区</t>
  </si>
  <si>
    <t>1219</t>
  </si>
  <si>
    <t>18.4</t>
  </si>
  <si>
    <r>
      <rPr>
        <sz val="12"/>
        <rFont val="宋体"/>
        <charset val="134"/>
      </rPr>
      <t>1#</t>
    </r>
    <r>
      <rPr>
        <sz val="10.5"/>
        <color indexed="8"/>
        <rFont val="宋体"/>
        <charset val="134"/>
      </rPr>
      <t>阀室</t>
    </r>
  </si>
  <si>
    <t>0#-30#</t>
  </si>
  <si>
    <t>30</t>
  </si>
  <si>
    <r>
      <rPr>
        <sz val="12"/>
        <rFont val="宋体"/>
        <charset val="134"/>
      </rPr>
      <t>2#</t>
    </r>
    <r>
      <rPr>
        <sz val="10.5"/>
        <color indexed="8"/>
        <rFont val="宋体"/>
        <charset val="134"/>
      </rPr>
      <t>阀室</t>
    </r>
  </si>
  <si>
    <t>31#-46#</t>
  </si>
  <si>
    <t>46</t>
  </si>
  <si>
    <r>
      <rPr>
        <sz val="12"/>
        <rFont val="宋体"/>
        <charset val="134"/>
      </rPr>
      <t>3#</t>
    </r>
    <r>
      <rPr>
        <sz val="10.5"/>
        <color indexed="8"/>
        <rFont val="宋体"/>
        <charset val="134"/>
      </rPr>
      <t>阀室</t>
    </r>
  </si>
  <si>
    <t>47#-75#</t>
  </si>
  <si>
    <r>
      <rPr>
        <sz val="12"/>
        <rFont val="宋体"/>
        <charset val="134"/>
      </rPr>
      <t>4#</t>
    </r>
    <r>
      <rPr>
        <sz val="10.5"/>
        <color indexed="8"/>
        <rFont val="宋体"/>
        <charset val="134"/>
      </rPr>
      <t>阀室</t>
    </r>
  </si>
  <si>
    <t>76#-104#</t>
  </si>
  <si>
    <t>博州</t>
  </si>
  <si>
    <t>阿拉山口作业区</t>
  </si>
  <si>
    <r>
      <rPr>
        <sz val="12"/>
        <rFont val="宋体"/>
        <charset val="134"/>
      </rPr>
      <t>5#</t>
    </r>
    <r>
      <rPr>
        <sz val="10.5"/>
        <color indexed="8"/>
        <rFont val="宋体"/>
        <charset val="134"/>
      </rPr>
      <t>阀室</t>
    </r>
  </si>
  <si>
    <t>105#-139#</t>
  </si>
  <si>
    <t>精河分输压气站</t>
  </si>
  <si>
    <t>140#-170#</t>
  </si>
  <si>
    <r>
      <rPr>
        <sz val="12"/>
        <rFont val="宋体"/>
        <charset val="134"/>
      </rPr>
      <t>6#</t>
    </r>
    <r>
      <rPr>
        <sz val="10.5"/>
        <color indexed="8"/>
        <rFont val="宋体"/>
        <charset val="134"/>
      </rPr>
      <t>阀室</t>
    </r>
  </si>
  <si>
    <t>171#-202#</t>
  </si>
  <si>
    <r>
      <rPr>
        <sz val="12"/>
        <rFont val="宋体"/>
        <charset val="134"/>
      </rPr>
      <t>7#</t>
    </r>
    <r>
      <rPr>
        <sz val="10.5"/>
        <color indexed="8"/>
        <rFont val="宋体"/>
        <charset val="134"/>
      </rPr>
      <t>阀室</t>
    </r>
  </si>
  <si>
    <t>203#-226#</t>
  </si>
  <si>
    <r>
      <rPr>
        <sz val="12"/>
        <rFont val="宋体"/>
        <charset val="134"/>
      </rPr>
      <t>8#</t>
    </r>
    <r>
      <rPr>
        <sz val="10.5"/>
        <color indexed="8"/>
        <rFont val="宋体"/>
        <charset val="134"/>
      </rPr>
      <t>阀室</t>
    </r>
  </si>
  <si>
    <t>227#-254#</t>
  </si>
  <si>
    <r>
      <rPr>
        <sz val="12"/>
        <rFont val="宋体"/>
        <charset val="134"/>
      </rPr>
      <t>9#</t>
    </r>
    <r>
      <rPr>
        <sz val="10.5"/>
        <color indexed="8"/>
        <rFont val="宋体"/>
        <charset val="134"/>
      </rPr>
      <t>阀室</t>
    </r>
  </si>
  <si>
    <t>255#-282#</t>
  </si>
  <si>
    <r>
      <rPr>
        <sz val="12"/>
        <rFont val="宋体"/>
        <charset val="134"/>
      </rPr>
      <t>10#</t>
    </r>
    <r>
      <rPr>
        <sz val="10.5"/>
        <color indexed="8"/>
        <rFont val="宋体"/>
        <charset val="134"/>
      </rPr>
      <t>阀室</t>
    </r>
  </si>
  <si>
    <t>283#-310#</t>
  </si>
  <si>
    <t>乌苏市古尔图镇</t>
  </si>
  <si>
    <t>独山子作业区</t>
  </si>
  <si>
    <t>乌苏压气站</t>
  </si>
  <si>
    <t>311#-345#</t>
  </si>
  <si>
    <t>乌苏市四棵树镇</t>
  </si>
  <si>
    <r>
      <rPr>
        <sz val="12"/>
        <rFont val="宋体"/>
        <charset val="134"/>
      </rPr>
      <t>11#</t>
    </r>
    <r>
      <rPr>
        <sz val="10.5"/>
        <color indexed="8"/>
        <rFont val="宋体"/>
        <charset val="134"/>
      </rPr>
      <t>阀室</t>
    </r>
  </si>
  <si>
    <t>346#-372#</t>
  </si>
  <si>
    <t>乌苏市西大沟镇</t>
  </si>
  <si>
    <t>奎屯分输站</t>
  </si>
  <si>
    <t>373#-402#</t>
  </si>
  <si>
    <t>奎屯市奎独经济技术开发区</t>
  </si>
  <si>
    <r>
      <rPr>
        <sz val="12"/>
        <rFont val="宋体"/>
        <charset val="134"/>
      </rPr>
      <t>13#</t>
    </r>
    <r>
      <rPr>
        <sz val="10.5"/>
        <color indexed="8"/>
        <rFont val="宋体"/>
        <charset val="134"/>
      </rPr>
      <t>阀室</t>
    </r>
  </si>
  <si>
    <t>403#-427#</t>
  </si>
  <si>
    <t>沙湾县安集海镇</t>
  </si>
  <si>
    <r>
      <rPr>
        <sz val="12"/>
        <rFont val="宋体"/>
        <charset val="134"/>
      </rPr>
      <t>14#</t>
    </r>
    <r>
      <rPr>
        <sz val="10.5"/>
        <color indexed="8"/>
        <rFont val="宋体"/>
        <charset val="134"/>
      </rPr>
      <t>阀室</t>
    </r>
  </si>
  <si>
    <t>428#-459#</t>
  </si>
  <si>
    <t>沙湾县金沟河工业园区</t>
  </si>
  <si>
    <r>
      <rPr>
        <sz val="12"/>
        <rFont val="宋体"/>
        <charset val="134"/>
      </rPr>
      <t>15#</t>
    </r>
    <r>
      <rPr>
        <sz val="10.5"/>
        <color indexed="8"/>
        <rFont val="宋体"/>
        <charset val="134"/>
      </rPr>
      <t>阀室</t>
    </r>
  </si>
  <si>
    <t>460#-492#</t>
  </si>
  <si>
    <t>石河子市石河子乡</t>
  </si>
  <si>
    <t>玛纳斯分输压气站</t>
  </si>
  <si>
    <t>493#-523#</t>
  </si>
  <si>
    <t>玛纳斯县乐土驿镇</t>
  </si>
  <si>
    <t>玛纳斯作业区</t>
  </si>
  <si>
    <r>
      <rPr>
        <sz val="12"/>
        <rFont val="宋体"/>
        <charset val="134"/>
      </rPr>
      <t>16#</t>
    </r>
    <r>
      <rPr>
        <sz val="10.5"/>
        <color indexed="8"/>
        <rFont val="宋体"/>
        <charset val="134"/>
      </rPr>
      <t>阀室</t>
    </r>
  </si>
  <si>
    <r>
      <rPr>
        <sz val="12"/>
        <rFont val="宋体"/>
        <charset val="134"/>
      </rPr>
      <t>524#-</t>
    </r>
    <r>
      <rPr>
        <sz val="12"/>
        <rFont val="宋体"/>
        <charset val="134"/>
      </rPr>
      <t>55</t>
    </r>
    <r>
      <rPr>
        <sz val="12"/>
        <rFont val="宋体"/>
        <charset val="134"/>
      </rPr>
      <t>2</t>
    </r>
    <r>
      <rPr>
        <sz val="12"/>
        <rFont val="宋体"/>
        <charset val="134"/>
      </rPr>
      <t>#</t>
    </r>
  </si>
  <si>
    <t>呼图壁县五工台镇</t>
  </si>
  <si>
    <r>
      <rPr>
        <sz val="12"/>
        <rFont val="宋体"/>
        <charset val="134"/>
      </rPr>
      <t>17#</t>
    </r>
    <r>
      <rPr>
        <sz val="10.5"/>
        <color indexed="8"/>
        <rFont val="宋体"/>
        <charset val="134"/>
      </rPr>
      <t>阀室</t>
    </r>
  </si>
  <si>
    <t>553#-581#</t>
  </si>
  <si>
    <t>兵团第六师军户农场6连</t>
  </si>
  <si>
    <t xml:space="preserve"> 王家沟治保巡护大队</t>
  </si>
  <si>
    <t>昌吉分输站</t>
  </si>
  <si>
    <t>582#-598#</t>
  </si>
  <si>
    <r>
      <rPr>
        <sz val="12"/>
        <rFont val="宋体"/>
        <charset val="134"/>
      </rPr>
      <t>19#</t>
    </r>
    <r>
      <rPr>
        <sz val="10.5"/>
        <color indexed="8"/>
        <rFont val="宋体"/>
        <charset val="134"/>
      </rPr>
      <t>阀室</t>
    </r>
  </si>
  <si>
    <t>599#-629#</t>
  </si>
  <si>
    <t>十二师104团</t>
  </si>
  <si>
    <t>乌鲁木齐区作业区</t>
  </si>
  <si>
    <t>乌鲁木齐分输压气站</t>
  </si>
  <si>
    <t>630#-660#</t>
  </si>
  <si>
    <t>乌鲁木齐托里县</t>
  </si>
  <si>
    <r>
      <rPr>
        <sz val="12"/>
        <rFont val="宋体"/>
        <charset val="134"/>
      </rPr>
      <t>20#</t>
    </r>
    <r>
      <rPr>
        <sz val="10.5"/>
        <color indexed="8"/>
        <rFont val="宋体"/>
        <charset val="134"/>
      </rPr>
      <t>阀室</t>
    </r>
  </si>
  <si>
    <t>661#-694#</t>
  </si>
  <si>
    <t>乌鲁木齐达坂城区</t>
  </si>
  <si>
    <r>
      <rPr>
        <sz val="12"/>
        <rFont val="宋体"/>
        <charset val="134"/>
      </rPr>
      <t>21#</t>
    </r>
    <r>
      <rPr>
        <sz val="10.5"/>
        <color indexed="8"/>
        <rFont val="宋体"/>
        <charset val="134"/>
      </rPr>
      <t>阀室</t>
    </r>
  </si>
  <si>
    <t>695#-721#</t>
  </si>
  <si>
    <r>
      <rPr>
        <sz val="12"/>
        <rFont val="宋体"/>
        <charset val="134"/>
      </rPr>
      <t>22#</t>
    </r>
    <r>
      <rPr>
        <sz val="10.5"/>
        <color indexed="8"/>
        <rFont val="宋体"/>
        <charset val="134"/>
      </rPr>
      <t>阀室</t>
    </r>
  </si>
  <si>
    <t>722#-740#</t>
  </si>
  <si>
    <t>吐鲁番市大河沿镇</t>
  </si>
  <si>
    <t>吐鲁番分输联络站</t>
  </si>
  <si>
    <t>741#-772#</t>
  </si>
  <si>
    <r>
      <rPr>
        <sz val="12"/>
        <rFont val="宋体"/>
        <charset val="134"/>
      </rPr>
      <t>24#</t>
    </r>
    <r>
      <rPr>
        <sz val="10.5"/>
        <color indexed="8"/>
        <rFont val="宋体"/>
        <charset val="134"/>
      </rPr>
      <t>阀室</t>
    </r>
  </si>
  <si>
    <t>771#-805#</t>
  </si>
  <si>
    <t>吐鲁番市葡萄沟社区</t>
  </si>
  <si>
    <r>
      <rPr>
        <sz val="12"/>
        <rFont val="宋体"/>
        <charset val="134"/>
      </rPr>
      <t>25#</t>
    </r>
    <r>
      <rPr>
        <sz val="10.5"/>
        <color indexed="8"/>
        <rFont val="宋体"/>
        <charset val="134"/>
      </rPr>
      <t>阀室</t>
    </r>
  </si>
  <si>
    <t>806#-838#</t>
  </si>
  <si>
    <t>鄯善县连木沁镇</t>
  </si>
  <si>
    <t>连木沁压气站</t>
  </si>
  <si>
    <t>839#-862#</t>
  </si>
  <si>
    <r>
      <rPr>
        <sz val="12"/>
        <rFont val="宋体"/>
        <charset val="134"/>
      </rPr>
      <t>26#</t>
    </r>
    <r>
      <rPr>
        <sz val="10.5"/>
        <color indexed="8"/>
        <rFont val="宋体"/>
        <charset val="134"/>
      </rPr>
      <t>阀室</t>
    </r>
  </si>
  <si>
    <t>863#-892桩</t>
  </si>
  <si>
    <t>鄯善县</t>
  </si>
  <si>
    <t>鄯善作业区</t>
  </si>
  <si>
    <r>
      <rPr>
        <sz val="12"/>
        <rFont val="宋体"/>
        <charset val="134"/>
      </rPr>
      <t>27#</t>
    </r>
    <r>
      <rPr>
        <sz val="10.5"/>
        <color indexed="8"/>
        <rFont val="宋体"/>
        <charset val="134"/>
      </rPr>
      <t>阀室</t>
    </r>
  </si>
  <si>
    <t>893#-925桩</t>
  </si>
  <si>
    <r>
      <rPr>
        <sz val="12"/>
        <rFont val="宋体"/>
        <charset val="134"/>
      </rPr>
      <t>28#</t>
    </r>
    <r>
      <rPr>
        <sz val="10.5"/>
        <color indexed="8"/>
        <rFont val="宋体"/>
        <charset val="134"/>
      </rPr>
      <t>阀室</t>
    </r>
  </si>
  <si>
    <t>926#-956桩</t>
  </si>
  <si>
    <r>
      <rPr>
        <sz val="12"/>
        <rFont val="宋体"/>
        <charset val="134"/>
      </rPr>
      <t>29#</t>
    </r>
    <r>
      <rPr>
        <sz val="10.5"/>
        <color indexed="8"/>
        <rFont val="宋体"/>
        <charset val="134"/>
      </rPr>
      <t>阀室</t>
    </r>
  </si>
  <si>
    <t>957#—986#</t>
  </si>
  <si>
    <r>
      <rPr>
        <sz val="12"/>
        <rFont val="宋体"/>
        <charset val="134"/>
      </rPr>
      <t>30#</t>
    </r>
    <r>
      <rPr>
        <sz val="10.5"/>
        <color indexed="8"/>
        <rFont val="宋体"/>
        <charset val="134"/>
      </rPr>
      <t>阀室</t>
    </r>
  </si>
  <si>
    <t>987#-1017#</t>
  </si>
  <si>
    <t>了墩压气站</t>
  </si>
  <si>
    <t>1018#-1047#</t>
  </si>
  <si>
    <r>
      <rPr>
        <sz val="12"/>
        <rFont val="宋体"/>
        <charset val="134"/>
      </rPr>
      <t>31#</t>
    </r>
    <r>
      <rPr>
        <sz val="10.5"/>
        <color indexed="8"/>
        <rFont val="宋体"/>
        <charset val="134"/>
      </rPr>
      <t>阀室</t>
    </r>
  </si>
  <si>
    <t>1048#-1079#</t>
  </si>
  <si>
    <r>
      <rPr>
        <sz val="12"/>
        <rFont val="宋体"/>
        <charset val="134"/>
      </rPr>
      <t>32#</t>
    </r>
    <r>
      <rPr>
        <sz val="10.5"/>
        <color indexed="8"/>
        <rFont val="宋体"/>
        <charset val="134"/>
      </rPr>
      <t>阀室</t>
    </r>
  </si>
  <si>
    <t>1080#-1107#</t>
  </si>
  <si>
    <r>
      <rPr>
        <sz val="12"/>
        <rFont val="宋体"/>
        <charset val="134"/>
      </rPr>
      <t>33#</t>
    </r>
    <r>
      <rPr>
        <sz val="10.5"/>
        <color indexed="8"/>
        <rFont val="宋体"/>
        <charset val="134"/>
      </rPr>
      <t>阀室</t>
    </r>
  </si>
  <si>
    <t>1108#-1136#</t>
  </si>
  <si>
    <t>哈密分输站</t>
  </si>
  <si>
    <t>1137#-1167#</t>
  </si>
  <si>
    <r>
      <rPr>
        <sz val="12"/>
        <rFont val="宋体"/>
        <charset val="134"/>
      </rPr>
      <t>35#</t>
    </r>
    <r>
      <rPr>
        <sz val="10.5"/>
        <color indexed="8"/>
        <rFont val="宋体"/>
        <charset val="134"/>
      </rPr>
      <t>阀室</t>
    </r>
  </si>
  <si>
    <t>1168#-1198#</t>
  </si>
  <si>
    <t>烟墩压气站</t>
  </si>
  <si>
    <t>1199#-1225#</t>
  </si>
  <si>
    <r>
      <rPr>
        <sz val="12"/>
        <rFont val="宋体"/>
        <charset val="134"/>
      </rPr>
      <t>36#</t>
    </r>
    <r>
      <rPr>
        <sz val="10.5"/>
        <color indexed="8"/>
        <rFont val="宋体"/>
        <charset val="134"/>
      </rPr>
      <t>阀室</t>
    </r>
  </si>
  <si>
    <t>1226#-1250#</t>
  </si>
  <si>
    <r>
      <rPr>
        <sz val="12"/>
        <rFont val="宋体"/>
        <charset val="134"/>
      </rPr>
      <t>37#</t>
    </r>
    <r>
      <rPr>
        <sz val="10.5"/>
        <color indexed="8"/>
        <rFont val="宋体"/>
        <charset val="134"/>
      </rPr>
      <t>阀室</t>
    </r>
  </si>
  <si>
    <t>1251#-1275#</t>
  </si>
  <si>
    <r>
      <rPr>
        <sz val="12"/>
        <rFont val="宋体"/>
        <charset val="134"/>
      </rPr>
      <t>38#</t>
    </r>
    <r>
      <rPr>
        <sz val="10.5"/>
        <color indexed="8"/>
        <rFont val="宋体"/>
        <charset val="134"/>
      </rPr>
      <t>阀室</t>
    </r>
  </si>
  <si>
    <t>1276#-1305#</t>
  </si>
  <si>
    <r>
      <rPr>
        <sz val="12"/>
        <rFont val="宋体"/>
        <charset val="134"/>
      </rPr>
      <t>39#</t>
    </r>
    <r>
      <rPr>
        <sz val="10.5"/>
        <color indexed="8"/>
        <rFont val="宋体"/>
        <charset val="134"/>
      </rPr>
      <t>阀室</t>
    </r>
  </si>
  <si>
    <t>1306#-1328#</t>
  </si>
  <si>
    <t>红柳联络压气站</t>
  </si>
  <si>
    <t>1329#-1359#</t>
  </si>
  <si>
    <r>
      <rPr>
        <sz val="12"/>
        <rFont val="宋体"/>
        <charset val="134"/>
      </rPr>
      <t>40#</t>
    </r>
    <r>
      <rPr>
        <sz val="10.5"/>
        <color indexed="8"/>
        <rFont val="宋体"/>
        <charset val="134"/>
      </rPr>
      <t>阀室</t>
    </r>
  </si>
  <si>
    <t>1360#-1390#</t>
  </si>
  <si>
    <r>
      <rPr>
        <sz val="12"/>
        <rFont val="宋体"/>
        <charset val="134"/>
      </rPr>
      <t>41#</t>
    </r>
    <r>
      <rPr>
        <sz val="10.5"/>
        <color indexed="8"/>
        <rFont val="宋体"/>
        <charset val="134"/>
      </rPr>
      <t>阀室</t>
    </r>
  </si>
  <si>
    <t>1391#-1420#</t>
  </si>
  <si>
    <r>
      <rPr>
        <sz val="12"/>
        <rFont val="宋体"/>
        <charset val="134"/>
      </rPr>
      <t>42#</t>
    </r>
    <r>
      <rPr>
        <sz val="10.5"/>
        <color indexed="8"/>
        <rFont val="宋体"/>
        <charset val="134"/>
      </rPr>
      <t>阀室</t>
    </r>
  </si>
  <si>
    <t>1420#-1454#</t>
  </si>
  <si>
    <r>
      <rPr>
        <sz val="12"/>
        <rFont val="宋体"/>
        <charset val="134"/>
      </rPr>
      <t>43#</t>
    </r>
    <r>
      <rPr>
        <sz val="10.5"/>
        <color indexed="8"/>
        <rFont val="宋体"/>
        <charset val="134"/>
      </rPr>
      <t>阀室</t>
    </r>
  </si>
  <si>
    <t>1455#-1486#</t>
  </si>
  <si>
    <r>
      <rPr>
        <sz val="12"/>
        <rFont val="宋体"/>
        <charset val="134"/>
      </rPr>
      <t>44#</t>
    </r>
    <r>
      <rPr>
        <sz val="10.5"/>
        <color indexed="8"/>
        <rFont val="宋体"/>
        <charset val="134"/>
      </rPr>
      <t>阀室</t>
    </r>
  </si>
  <si>
    <t>1487#-1516#</t>
  </si>
  <si>
    <t>瓜州压气站</t>
  </si>
  <si>
    <t>1517#-1546#</t>
  </si>
  <si>
    <t>甘肃省酒泉市瓜州县腰站子乡</t>
  </si>
  <si>
    <r>
      <rPr>
        <sz val="12"/>
        <rFont val="宋体"/>
        <charset val="134"/>
      </rPr>
      <t>45#</t>
    </r>
    <r>
      <rPr>
        <sz val="10.5"/>
        <color indexed="8"/>
        <rFont val="宋体"/>
        <charset val="134"/>
      </rPr>
      <t>阀室</t>
    </r>
  </si>
  <si>
    <t>1547#-1578#</t>
  </si>
  <si>
    <r>
      <rPr>
        <sz val="12"/>
        <rFont val="宋体"/>
        <charset val="134"/>
      </rPr>
      <t>46#</t>
    </r>
    <r>
      <rPr>
        <sz val="10.5"/>
        <color indexed="8"/>
        <rFont val="宋体"/>
        <charset val="134"/>
      </rPr>
      <t>阀室</t>
    </r>
  </si>
  <si>
    <t>1579#-1610#</t>
  </si>
  <si>
    <r>
      <rPr>
        <sz val="12"/>
        <rFont val="宋体"/>
        <charset val="134"/>
      </rPr>
      <t>47#</t>
    </r>
    <r>
      <rPr>
        <sz val="10.5"/>
        <color indexed="8"/>
        <rFont val="宋体"/>
        <charset val="134"/>
      </rPr>
      <t>阀室</t>
    </r>
  </si>
  <si>
    <t>1611#-1639#</t>
  </si>
  <si>
    <r>
      <rPr>
        <sz val="12"/>
        <rFont val="宋体"/>
        <charset val="134"/>
      </rPr>
      <t>48#</t>
    </r>
    <r>
      <rPr>
        <sz val="10.5"/>
        <color indexed="8"/>
        <rFont val="宋体"/>
        <charset val="134"/>
      </rPr>
      <t>阀室</t>
    </r>
  </si>
  <si>
    <t>1640#-1665#</t>
  </si>
  <si>
    <t>玉门市清泉乡戈壁</t>
  </si>
  <si>
    <r>
      <rPr>
        <sz val="12"/>
        <rFont val="宋体"/>
        <charset val="134"/>
      </rPr>
      <t>49#</t>
    </r>
    <r>
      <rPr>
        <sz val="10.5"/>
        <color indexed="8"/>
        <rFont val="宋体"/>
        <charset val="134"/>
      </rPr>
      <t>阀室</t>
    </r>
  </si>
  <si>
    <t>1666#-1691#</t>
  </si>
  <si>
    <t>嘉峪关市黑山湖砖厂</t>
  </si>
  <si>
    <t>嘉峪关分输压气站</t>
  </si>
  <si>
    <t>1692#-1720#</t>
  </si>
  <si>
    <t>嘉峪关市文殊乡三组</t>
  </si>
  <si>
    <r>
      <rPr>
        <sz val="12"/>
        <rFont val="宋体"/>
        <charset val="134"/>
      </rPr>
      <t>50#</t>
    </r>
    <r>
      <rPr>
        <sz val="10.5"/>
        <color indexed="8"/>
        <rFont val="宋体"/>
        <charset val="134"/>
      </rPr>
      <t>阀室</t>
    </r>
  </si>
  <si>
    <t>1721#-1742#</t>
  </si>
  <si>
    <t>酒泉市沙格楞村三组</t>
  </si>
  <si>
    <r>
      <rPr>
        <sz val="12"/>
        <rFont val="宋体"/>
        <charset val="134"/>
      </rPr>
      <t>51#</t>
    </r>
    <r>
      <rPr>
        <sz val="10.5"/>
        <color indexed="8"/>
        <rFont val="宋体"/>
        <charset val="134"/>
      </rPr>
      <t>阀室</t>
    </r>
  </si>
  <si>
    <t>1743#-1771#</t>
  </si>
  <si>
    <t>酒泉市下河清机场</t>
  </si>
  <si>
    <r>
      <rPr>
        <sz val="12"/>
        <rFont val="宋体"/>
        <charset val="134"/>
      </rPr>
      <t>52#</t>
    </r>
    <r>
      <rPr>
        <sz val="10.5"/>
        <color indexed="8"/>
        <rFont val="宋体"/>
        <charset val="134"/>
      </rPr>
      <t>阀室</t>
    </r>
  </si>
  <si>
    <t>1772#-1802#</t>
  </si>
  <si>
    <t>酒泉市马营河村</t>
  </si>
  <si>
    <r>
      <rPr>
        <sz val="12"/>
        <rFont val="宋体"/>
        <charset val="134"/>
      </rPr>
      <t>53#</t>
    </r>
    <r>
      <rPr>
        <sz val="10.5"/>
        <color indexed="8"/>
        <rFont val="宋体"/>
        <charset val="134"/>
      </rPr>
      <t>阀室</t>
    </r>
  </si>
  <si>
    <t>1803#-1829#</t>
  </si>
  <si>
    <r>
      <rPr>
        <sz val="12"/>
        <rFont val="宋体"/>
        <charset val="134"/>
      </rPr>
      <t>54#</t>
    </r>
    <r>
      <rPr>
        <sz val="10.5"/>
        <color indexed="8"/>
        <rFont val="宋体"/>
        <charset val="134"/>
      </rPr>
      <t>阀室</t>
    </r>
  </si>
  <si>
    <t>1830#-1857#</t>
  </si>
  <si>
    <r>
      <rPr>
        <sz val="12"/>
        <rFont val="宋体"/>
        <charset val="134"/>
      </rPr>
      <t>55#</t>
    </r>
    <r>
      <rPr>
        <sz val="10.5"/>
        <color indexed="8"/>
        <rFont val="宋体"/>
        <charset val="134"/>
      </rPr>
      <t>阀室</t>
    </r>
  </si>
  <si>
    <t>1858#-1887#</t>
  </si>
  <si>
    <t>1888#-1909#</t>
  </si>
  <si>
    <r>
      <rPr>
        <sz val="12"/>
        <rFont val="宋体"/>
        <charset val="134"/>
      </rPr>
      <t>56#</t>
    </r>
    <r>
      <rPr>
        <sz val="10.5"/>
        <color indexed="8"/>
        <rFont val="宋体"/>
        <charset val="134"/>
      </rPr>
      <t>阀室</t>
    </r>
  </si>
  <si>
    <t>1910#-1934#</t>
  </si>
  <si>
    <r>
      <rPr>
        <sz val="12"/>
        <rFont val="宋体"/>
        <charset val="134"/>
      </rPr>
      <t>57#</t>
    </r>
    <r>
      <rPr>
        <sz val="10.5"/>
        <color indexed="8"/>
        <rFont val="宋体"/>
        <charset val="134"/>
      </rPr>
      <t>阀室</t>
    </r>
  </si>
  <si>
    <t>1934#-1964#</t>
  </si>
  <si>
    <t>张掖市山丹县东乐乡静安村</t>
  </si>
  <si>
    <r>
      <rPr>
        <sz val="12"/>
        <rFont val="宋体"/>
        <charset val="134"/>
      </rPr>
      <t>58#</t>
    </r>
    <r>
      <rPr>
        <sz val="10.5"/>
        <color indexed="8"/>
        <rFont val="宋体"/>
        <charset val="134"/>
      </rPr>
      <t>阀室</t>
    </r>
  </si>
  <si>
    <t>1965#-1996#</t>
  </si>
  <si>
    <t>张掖市山丹县位奇镇十里堡</t>
  </si>
  <si>
    <r>
      <rPr>
        <sz val="12"/>
        <rFont val="宋体"/>
        <charset val="134"/>
      </rPr>
      <t>59#</t>
    </r>
    <r>
      <rPr>
        <sz val="10.5"/>
        <color indexed="8"/>
        <rFont val="宋体"/>
        <charset val="134"/>
      </rPr>
      <t>阀室</t>
    </r>
  </si>
  <si>
    <t>1997#-2025#</t>
  </si>
  <si>
    <t>张掖市山丹县老军乡丰城堡</t>
  </si>
  <si>
    <t>2026#2055#</t>
  </si>
  <si>
    <t>金昌市永昌县红山窑乡水泉子村</t>
  </si>
  <si>
    <r>
      <rPr>
        <sz val="12"/>
        <rFont val="宋体"/>
        <charset val="134"/>
      </rPr>
      <t>60#</t>
    </r>
    <r>
      <rPr>
        <sz val="10.5"/>
        <color indexed="8"/>
        <rFont val="宋体"/>
        <charset val="134"/>
      </rPr>
      <t>阀室</t>
    </r>
  </si>
  <si>
    <t>2056#-2082#</t>
  </si>
  <si>
    <t>金昌市永昌县焦家庄乡楼庄子村</t>
  </si>
  <si>
    <r>
      <rPr>
        <sz val="12"/>
        <rFont val="宋体"/>
        <charset val="134"/>
      </rPr>
      <t>61#</t>
    </r>
    <r>
      <rPr>
        <sz val="10.5"/>
        <color indexed="8"/>
        <rFont val="宋体"/>
        <charset val="134"/>
      </rPr>
      <t>阀室</t>
    </r>
  </si>
  <si>
    <t>2083#-2108#</t>
  </si>
  <si>
    <t>金昌市永昌县六坝乡七坝村</t>
  </si>
  <si>
    <r>
      <rPr>
        <sz val="12"/>
        <rFont val="宋体"/>
        <charset val="134"/>
      </rPr>
      <t>62#</t>
    </r>
    <r>
      <rPr>
        <sz val="10.5"/>
        <color indexed="8"/>
        <rFont val="宋体"/>
        <charset val="134"/>
      </rPr>
      <t>阀室</t>
    </r>
  </si>
  <si>
    <t>2108#-2133#</t>
  </si>
  <si>
    <t>武威市凉州区永丰镇</t>
  </si>
  <si>
    <t>武威分输站</t>
  </si>
  <si>
    <t>2134#-2163#</t>
  </si>
  <si>
    <t>武威市凉州区红中村</t>
  </si>
  <si>
    <r>
      <rPr>
        <sz val="12"/>
        <rFont val="宋体"/>
        <charset val="134"/>
      </rPr>
      <t>64#</t>
    </r>
    <r>
      <rPr>
        <sz val="10.5"/>
        <color indexed="8"/>
        <rFont val="宋体"/>
        <charset val="134"/>
      </rPr>
      <t>阀室</t>
    </r>
  </si>
  <si>
    <t>2164#-2198#</t>
  </si>
  <si>
    <t>武威市凉州区黄羊河农场</t>
  </si>
  <si>
    <r>
      <rPr>
        <sz val="12"/>
        <rFont val="宋体"/>
        <charset val="134"/>
      </rPr>
      <t>65#</t>
    </r>
    <r>
      <rPr>
        <sz val="10.5"/>
        <color indexed="8"/>
        <rFont val="宋体"/>
        <charset val="134"/>
      </rPr>
      <t>阀室</t>
    </r>
  </si>
  <si>
    <t>2199#-2228#</t>
  </si>
  <si>
    <t>古浪县西靖乡</t>
  </si>
  <si>
    <t xml:space="preserve">古浪作业区 </t>
  </si>
  <si>
    <t>2229#-2258#</t>
  </si>
  <si>
    <t>古浪县裴家营镇华新村</t>
  </si>
  <si>
    <r>
      <rPr>
        <sz val="12"/>
        <rFont val="宋体"/>
        <charset val="134"/>
      </rPr>
      <t>66#</t>
    </r>
    <r>
      <rPr>
        <sz val="10.5"/>
        <color indexed="8"/>
        <rFont val="宋体"/>
        <charset val="134"/>
      </rPr>
      <t>阀室</t>
    </r>
  </si>
  <si>
    <t>2259#-2288#</t>
  </si>
  <si>
    <t>白银市景泰县上沙沃镇</t>
  </si>
  <si>
    <r>
      <rPr>
        <sz val="12"/>
        <rFont val="宋体"/>
        <charset val="134"/>
      </rPr>
      <t>67#</t>
    </r>
    <r>
      <rPr>
        <sz val="10.5"/>
        <color indexed="8"/>
        <rFont val="宋体"/>
        <charset val="134"/>
      </rPr>
      <t>阀室</t>
    </r>
  </si>
  <si>
    <t>2289#-2319#</t>
  </si>
  <si>
    <r>
      <rPr>
        <sz val="12"/>
        <rFont val="宋体"/>
        <charset val="134"/>
      </rPr>
      <t>68#</t>
    </r>
    <r>
      <rPr>
        <sz val="10.5"/>
        <color indexed="8"/>
        <rFont val="宋体"/>
        <charset val="134"/>
      </rPr>
      <t>阀室</t>
    </r>
  </si>
  <si>
    <r>
      <rPr>
        <sz val="12"/>
        <rFont val="宋体"/>
        <charset val="134"/>
      </rPr>
      <t>69#</t>
    </r>
    <r>
      <rPr>
        <sz val="10.5"/>
        <color indexed="8"/>
        <rFont val="宋体"/>
        <charset val="134"/>
      </rPr>
      <t>阀室</t>
    </r>
  </si>
  <si>
    <r>
      <rPr>
        <sz val="12"/>
        <rFont val="宋体"/>
        <charset val="134"/>
      </rPr>
      <t>70#</t>
    </r>
    <r>
      <rPr>
        <sz val="10.5"/>
        <color indexed="8"/>
        <rFont val="宋体"/>
        <charset val="134"/>
      </rPr>
      <t>阀室</t>
    </r>
  </si>
  <si>
    <r>
      <rPr>
        <sz val="12"/>
        <rFont val="宋体"/>
        <charset val="134"/>
      </rPr>
      <t>71#</t>
    </r>
    <r>
      <rPr>
        <sz val="10.5"/>
        <color indexed="8"/>
        <rFont val="宋体"/>
        <charset val="134"/>
      </rPr>
      <t>阀室</t>
    </r>
  </si>
  <si>
    <t>中卫联络站</t>
  </si>
  <si>
    <t>西三线站场、阀室与里程桩对应表</t>
  </si>
  <si>
    <t>0#</t>
  </si>
  <si>
    <t>0#-30#+250m</t>
  </si>
  <si>
    <t>31#-47#+200m</t>
  </si>
  <si>
    <t>48#-75#</t>
  </si>
  <si>
    <t>76#-103#</t>
  </si>
  <si>
    <t>104#-139#</t>
  </si>
  <si>
    <t>140#-169#</t>
  </si>
  <si>
    <t>170#-202#</t>
  </si>
  <si>
    <t>283#-359#</t>
  </si>
  <si>
    <t>360#-395#</t>
  </si>
  <si>
    <t>396#-428#</t>
  </si>
  <si>
    <t>429#-485#</t>
  </si>
  <si>
    <t>486#-512#</t>
  </si>
  <si>
    <t>513#-565#</t>
  </si>
  <si>
    <t>566#-610#</t>
  </si>
  <si>
    <t>611#-662#</t>
  </si>
  <si>
    <r>
      <rPr>
        <sz val="12"/>
        <rFont val="宋体"/>
        <charset val="134"/>
      </rPr>
      <t>1</t>
    </r>
    <r>
      <rPr>
        <sz val="12"/>
        <rFont val="宋体"/>
        <charset val="134"/>
      </rPr>
      <t>6#阀室</t>
    </r>
  </si>
  <si>
    <t>663#-714#</t>
  </si>
  <si>
    <t>715#-794#</t>
  </si>
  <si>
    <t>兵团第六师军户农场</t>
  </si>
  <si>
    <t>王家沟治保巡护大队</t>
  </si>
  <si>
    <t>795#-861#</t>
  </si>
  <si>
    <t>-683#</t>
  </si>
  <si>
    <t>683#-715#</t>
  </si>
  <si>
    <t>715#-744#</t>
  </si>
  <si>
    <t>980#-1010#</t>
  </si>
  <si>
    <t>1011#-1063#</t>
  </si>
  <si>
    <t>1064#-1103#</t>
  </si>
  <si>
    <t>1104#-1150#</t>
  </si>
  <si>
    <t>1151#-1175#</t>
  </si>
  <si>
    <t xml:space="preserve"> 924#-957#</t>
  </si>
  <si>
    <t>958#-987#</t>
  </si>
  <si>
    <t>988#-1019#</t>
  </si>
  <si>
    <t>987#-1019#</t>
  </si>
  <si>
    <t>1020#-1050#</t>
  </si>
  <si>
    <t>1051#-1080#</t>
  </si>
  <si>
    <t>1081#-1113#</t>
  </si>
  <si>
    <t>1114#-1140#</t>
  </si>
  <si>
    <t>1141#-1168#</t>
  </si>
  <si>
    <t>1169#-1200#</t>
  </si>
  <si>
    <t>　1358#-1391#</t>
  </si>
  <si>
    <t>1392#-1420#　</t>
  </si>
  <si>
    <t>1421#-1458#　</t>
  </si>
  <si>
    <t>1459#-1493#　</t>
  </si>
  <si>
    <t>1494#-1523#</t>
  </si>
  <si>
    <t>1524#-1558#</t>
  </si>
  <si>
    <t>1559#-1592#</t>
  </si>
  <si>
    <t>　1593#-1627#</t>
  </si>
  <si>
    <t>1628#-1664+1#　</t>
  </si>
  <si>
    <t>　1665#-1695#</t>
  </si>
  <si>
    <t>1696#-1722#　</t>
  </si>
  <si>
    <r>
      <rPr>
        <sz val="11"/>
        <color indexed="8"/>
        <rFont val="宋体"/>
        <charset val="134"/>
      </rPr>
      <t>196</t>
    </r>
    <r>
      <rPr>
        <sz val="11"/>
        <color indexed="8"/>
        <rFont val="宋体"/>
        <charset val="134"/>
      </rPr>
      <t>4</t>
    </r>
    <r>
      <rPr>
        <sz val="12"/>
        <rFont val="宋体"/>
        <charset val="134"/>
      </rPr>
      <t>#-1996#</t>
    </r>
  </si>
  <si>
    <t>2025#-2055#</t>
  </si>
  <si>
    <t>2055#-2082#</t>
  </si>
  <si>
    <t>2082#-2108#</t>
  </si>
  <si>
    <t>2108#-2135#</t>
  </si>
  <si>
    <t>2135#-2164#</t>
  </si>
  <si>
    <t>站场</t>
  </si>
  <si>
    <t>里程</t>
  </si>
  <si>
    <t>19#</t>
  </si>
  <si>
    <t>20#</t>
  </si>
  <si>
    <t>21#</t>
  </si>
  <si>
    <t>22#</t>
  </si>
  <si>
    <t>23#</t>
  </si>
  <si>
    <t>24#</t>
  </si>
  <si>
    <t>25#</t>
  </si>
  <si>
    <t>26#</t>
  </si>
  <si>
    <t>27#</t>
  </si>
  <si>
    <t>28#</t>
  </si>
  <si>
    <t>29#</t>
  </si>
  <si>
    <t>30#</t>
  </si>
  <si>
    <t>31#</t>
  </si>
  <si>
    <t>32#</t>
  </si>
  <si>
    <t>33#</t>
  </si>
  <si>
    <t>34#</t>
  </si>
  <si>
    <t>35#</t>
  </si>
  <si>
    <t>36#</t>
  </si>
  <si>
    <t>37#</t>
  </si>
  <si>
    <t>38#</t>
  </si>
  <si>
    <t>张掖压气站</t>
  </si>
  <si>
    <t>39#</t>
  </si>
  <si>
    <t>40#</t>
  </si>
  <si>
    <t>41#</t>
  </si>
  <si>
    <t>42#</t>
  </si>
  <si>
    <t>43#</t>
  </si>
  <si>
    <t>44#</t>
  </si>
  <si>
    <t>45#</t>
  </si>
  <si>
    <t>46#</t>
  </si>
  <si>
    <t>47#</t>
  </si>
  <si>
    <t>48#</t>
  </si>
  <si>
    <t>民勤清管阀室</t>
  </si>
  <si>
    <t>49#</t>
  </si>
  <si>
    <t>50#</t>
  </si>
  <si>
    <t>51#</t>
  </si>
  <si>
    <t>52#</t>
  </si>
  <si>
    <t>53#</t>
  </si>
  <si>
    <t>54#</t>
  </si>
  <si>
    <t>55#</t>
  </si>
  <si>
    <t>56#</t>
  </si>
  <si>
    <t>57#</t>
  </si>
  <si>
    <t>58#</t>
  </si>
  <si>
    <t>涩一线站场、阀室与里程桩对应表</t>
  </si>
  <si>
    <t>涩北压气站</t>
  </si>
  <si>
    <t>格尔木市</t>
  </si>
  <si>
    <t>涩北压气首站</t>
  </si>
  <si>
    <t>0-#29#</t>
  </si>
  <si>
    <t>30#-58#</t>
  </si>
  <si>
    <t>大柴旦镇</t>
  </si>
  <si>
    <t>59#-87#</t>
  </si>
  <si>
    <t>88#-109#</t>
  </si>
  <si>
    <t>110#-113#</t>
  </si>
  <si>
    <t>114#-130#</t>
  </si>
  <si>
    <t>131#-150#</t>
  </si>
  <si>
    <t>羊肠子沟站</t>
  </si>
  <si>
    <t>151#-169#</t>
  </si>
  <si>
    <t>德令哈作业区</t>
  </si>
  <si>
    <t>170#-198#</t>
  </si>
  <si>
    <t>德令哈市</t>
  </si>
  <si>
    <t>199#-225#</t>
  </si>
  <si>
    <t>226#-257#</t>
  </si>
  <si>
    <t>258#-286#</t>
  </si>
  <si>
    <t>德令哈分输站</t>
  </si>
  <si>
    <t>287#-290#</t>
  </si>
  <si>
    <t>291#-318#</t>
  </si>
  <si>
    <t>319#-344#</t>
  </si>
  <si>
    <t>345#-374#</t>
  </si>
  <si>
    <t>海西州乌兰县</t>
  </si>
  <si>
    <t>乌兰压气站</t>
  </si>
  <si>
    <r>
      <rPr>
        <sz val="12"/>
        <rFont val="宋体"/>
        <charset val="134"/>
      </rPr>
      <t>375#-</t>
    </r>
    <r>
      <rPr>
        <sz val="12"/>
        <rFont val="宋体"/>
        <charset val="134"/>
      </rPr>
      <t>402</t>
    </r>
    <r>
      <rPr>
        <sz val="12"/>
        <rFont val="宋体"/>
        <charset val="134"/>
      </rPr>
      <t>#</t>
    </r>
  </si>
  <si>
    <r>
      <rPr>
        <sz val="12"/>
        <rFont val="宋体"/>
        <charset val="134"/>
      </rPr>
      <t>1</t>
    </r>
    <r>
      <rPr>
        <sz val="12"/>
        <rFont val="宋体"/>
        <charset val="134"/>
      </rPr>
      <t>5</t>
    </r>
    <r>
      <rPr>
        <sz val="12"/>
        <rFont val="宋体"/>
        <charset val="134"/>
      </rPr>
      <t>#阀室</t>
    </r>
  </si>
  <si>
    <r>
      <rPr>
        <sz val="12"/>
        <rFont val="宋体"/>
        <charset val="134"/>
      </rPr>
      <t>403#-</t>
    </r>
    <r>
      <rPr>
        <sz val="12"/>
        <rFont val="宋体"/>
        <charset val="134"/>
      </rPr>
      <t>422</t>
    </r>
    <r>
      <rPr>
        <sz val="12"/>
        <rFont val="宋体"/>
        <charset val="134"/>
      </rPr>
      <t>#</t>
    </r>
  </si>
  <si>
    <r>
      <rPr>
        <sz val="12"/>
        <rFont val="宋体"/>
        <charset val="134"/>
      </rPr>
      <t>4</t>
    </r>
    <r>
      <rPr>
        <sz val="12"/>
        <rFont val="宋体"/>
        <charset val="134"/>
      </rPr>
      <t>23</t>
    </r>
    <r>
      <rPr>
        <sz val="12"/>
        <rFont val="宋体"/>
        <charset val="134"/>
      </rPr>
      <t>#</t>
    </r>
    <r>
      <rPr>
        <sz val="12"/>
        <rFont val="宋体"/>
        <charset val="134"/>
      </rPr>
      <t>-444</t>
    </r>
    <r>
      <rPr>
        <sz val="12"/>
        <rFont val="宋体"/>
        <charset val="134"/>
      </rPr>
      <t>#</t>
    </r>
  </si>
  <si>
    <r>
      <rPr>
        <sz val="12"/>
        <rFont val="宋体"/>
        <charset val="134"/>
      </rPr>
      <t>4</t>
    </r>
    <r>
      <rPr>
        <sz val="12"/>
        <rFont val="宋体"/>
        <charset val="134"/>
      </rPr>
      <t>45#桩</t>
    </r>
  </si>
  <si>
    <t>446#-472#</t>
  </si>
  <si>
    <t>海南州共和县</t>
  </si>
  <si>
    <t>大水桥清管站</t>
  </si>
  <si>
    <t>473#-504#</t>
  </si>
  <si>
    <t>505#-529#</t>
  </si>
  <si>
    <t>530#-558#</t>
  </si>
  <si>
    <t>559#-590#</t>
  </si>
  <si>
    <r>
      <rPr>
        <sz val="12"/>
        <rFont val="宋体"/>
        <charset val="134"/>
      </rPr>
      <t>5</t>
    </r>
    <r>
      <rPr>
        <sz val="12"/>
        <rFont val="宋体"/>
        <charset val="134"/>
      </rPr>
      <t>91</t>
    </r>
    <r>
      <rPr>
        <sz val="12"/>
        <rFont val="宋体"/>
        <charset val="134"/>
      </rPr>
      <t>#</t>
    </r>
    <r>
      <rPr>
        <sz val="12"/>
        <rFont val="宋体"/>
        <charset val="134"/>
      </rPr>
      <t>-621#</t>
    </r>
  </si>
  <si>
    <r>
      <rPr>
        <sz val="12"/>
        <rFont val="宋体"/>
        <charset val="134"/>
      </rPr>
      <t>6</t>
    </r>
    <r>
      <rPr>
        <sz val="12"/>
        <rFont val="宋体"/>
        <charset val="134"/>
      </rPr>
      <t>22</t>
    </r>
    <r>
      <rPr>
        <sz val="12"/>
        <rFont val="宋体"/>
        <charset val="134"/>
      </rPr>
      <t>#</t>
    </r>
    <r>
      <rPr>
        <sz val="12"/>
        <rFont val="宋体"/>
        <charset val="134"/>
      </rPr>
      <t>-655#</t>
    </r>
  </si>
  <si>
    <t>656#-690#</t>
  </si>
  <si>
    <t>海南州贵德县</t>
  </si>
  <si>
    <r>
      <rPr>
        <sz val="12"/>
        <rFont val="宋体"/>
        <charset val="134"/>
      </rPr>
      <t>6</t>
    </r>
    <r>
      <rPr>
        <sz val="12"/>
        <rFont val="宋体"/>
        <charset val="134"/>
      </rPr>
      <t>91</t>
    </r>
    <r>
      <rPr>
        <sz val="12"/>
        <rFont val="宋体"/>
        <charset val="134"/>
      </rPr>
      <t>#</t>
    </r>
    <r>
      <rPr>
        <sz val="12"/>
        <rFont val="宋体"/>
        <charset val="134"/>
      </rPr>
      <t>-715#</t>
    </r>
  </si>
  <si>
    <t>西宁市湟中县</t>
  </si>
  <si>
    <r>
      <rPr>
        <sz val="12"/>
        <rFont val="宋体"/>
        <charset val="134"/>
      </rPr>
      <t>7</t>
    </r>
    <r>
      <rPr>
        <sz val="12"/>
        <rFont val="宋体"/>
        <charset val="134"/>
      </rPr>
      <t>16</t>
    </r>
    <r>
      <rPr>
        <sz val="12"/>
        <rFont val="宋体"/>
        <charset val="134"/>
      </rPr>
      <t>#</t>
    </r>
    <r>
      <rPr>
        <sz val="12"/>
        <rFont val="宋体"/>
        <charset val="134"/>
      </rPr>
      <t>-740#</t>
    </r>
  </si>
  <si>
    <t>741#-766#</t>
  </si>
  <si>
    <t>海东市平安县</t>
  </si>
  <si>
    <t>767#-790#</t>
  </si>
  <si>
    <t>海东市乐都县</t>
  </si>
  <si>
    <t>民和分输站</t>
  </si>
  <si>
    <t>791#-315#</t>
  </si>
  <si>
    <t>316#-842#</t>
  </si>
  <si>
    <t>海东市民和县</t>
  </si>
  <si>
    <r>
      <rPr>
        <sz val="12"/>
        <rFont val="宋体"/>
        <charset val="134"/>
      </rPr>
      <t>8</t>
    </r>
    <r>
      <rPr>
        <sz val="12"/>
        <rFont val="宋体"/>
        <charset val="134"/>
      </rPr>
      <t>43</t>
    </r>
    <r>
      <rPr>
        <sz val="12"/>
        <rFont val="宋体"/>
        <charset val="134"/>
      </rPr>
      <t>#</t>
    </r>
    <r>
      <rPr>
        <sz val="12"/>
        <rFont val="宋体"/>
        <charset val="134"/>
      </rPr>
      <t>-861#</t>
    </r>
  </si>
  <si>
    <t>兰州市红古区</t>
  </si>
  <si>
    <r>
      <rPr>
        <sz val="12"/>
        <rFont val="宋体"/>
        <charset val="134"/>
      </rPr>
      <t>8</t>
    </r>
    <r>
      <rPr>
        <sz val="12"/>
        <rFont val="宋体"/>
        <charset val="134"/>
      </rPr>
      <t>62</t>
    </r>
    <r>
      <rPr>
        <sz val="12"/>
        <rFont val="宋体"/>
        <charset val="134"/>
      </rPr>
      <t>#</t>
    </r>
    <r>
      <rPr>
        <sz val="12"/>
        <rFont val="宋体"/>
        <charset val="134"/>
      </rPr>
      <t>-875#</t>
    </r>
  </si>
  <si>
    <t>30#分输阀室</t>
  </si>
  <si>
    <t>876#-889#</t>
  </si>
  <si>
    <t>890#-904#</t>
  </si>
  <si>
    <t>兰州输气末站</t>
  </si>
  <si>
    <r>
      <rPr>
        <sz val="12"/>
        <rFont val="宋体"/>
        <charset val="134"/>
      </rPr>
      <t>9</t>
    </r>
    <r>
      <rPr>
        <sz val="12"/>
        <rFont val="宋体"/>
        <charset val="134"/>
      </rPr>
      <t>05</t>
    </r>
    <r>
      <rPr>
        <sz val="12"/>
        <rFont val="宋体"/>
        <charset val="134"/>
      </rPr>
      <t>#</t>
    </r>
    <r>
      <rPr>
        <sz val="12"/>
        <rFont val="宋体"/>
        <charset val="134"/>
      </rPr>
      <t>-907#</t>
    </r>
  </si>
  <si>
    <t>兰州分输末站</t>
  </si>
  <si>
    <t>908#-930#</t>
  </si>
  <si>
    <t>兰州市西固区</t>
  </si>
  <si>
    <t>涩复线站场、阀室与里程桩对应表</t>
  </si>
  <si>
    <r>
      <rPr>
        <sz val="12"/>
        <rFont val="宋体"/>
        <charset val="134"/>
      </rPr>
      <t>0#</t>
    </r>
    <r>
      <rPr>
        <sz val="12"/>
        <rFont val="宋体"/>
        <charset val="134"/>
      </rPr>
      <t>-29#</t>
    </r>
  </si>
  <si>
    <r>
      <rPr>
        <sz val="12"/>
        <rFont val="宋体"/>
        <charset val="134"/>
      </rPr>
      <t>3</t>
    </r>
    <r>
      <rPr>
        <sz val="12"/>
        <rFont val="宋体"/>
        <charset val="134"/>
      </rPr>
      <t>0</t>
    </r>
    <r>
      <rPr>
        <sz val="12"/>
        <rFont val="宋体"/>
        <charset val="134"/>
      </rPr>
      <t>#</t>
    </r>
    <r>
      <rPr>
        <sz val="12"/>
        <rFont val="宋体"/>
        <charset val="134"/>
      </rPr>
      <t>-58#</t>
    </r>
  </si>
  <si>
    <t>59#-86#</t>
  </si>
  <si>
    <r>
      <rPr>
        <sz val="12"/>
        <rFont val="宋体"/>
        <charset val="134"/>
      </rPr>
      <t>8</t>
    </r>
    <r>
      <rPr>
        <sz val="12"/>
        <rFont val="宋体"/>
        <charset val="134"/>
      </rPr>
      <t>7</t>
    </r>
    <r>
      <rPr>
        <sz val="12"/>
        <rFont val="宋体"/>
        <charset val="134"/>
      </rPr>
      <t>#</t>
    </r>
    <r>
      <rPr>
        <sz val="12"/>
        <rFont val="宋体"/>
        <charset val="134"/>
      </rPr>
      <t>-114#</t>
    </r>
  </si>
  <si>
    <r>
      <rPr>
        <sz val="12"/>
        <rFont val="宋体"/>
        <charset val="134"/>
      </rPr>
      <t>1</t>
    </r>
    <r>
      <rPr>
        <sz val="12"/>
        <rFont val="宋体"/>
        <charset val="134"/>
      </rPr>
      <t>15</t>
    </r>
    <r>
      <rPr>
        <sz val="12"/>
        <rFont val="宋体"/>
        <charset val="134"/>
      </rPr>
      <t>#</t>
    </r>
    <r>
      <rPr>
        <sz val="12"/>
        <rFont val="宋体"/>
        <charset val="134"/>
      </rPr>
      <t>-144#</t>
    </r>
  </si>
  <si>
    <t>145#-169#</t>
  </si>
  <si>
    <r>
      <rPr>
        <sz val="12"/>
        <rFont val="宋体"/>
        <charset val="134"/>
      </rPr>
      <t>1</t>
    </r>
    <r>
      <rPr>
        <sz val="12"/>
        <rFont val="宋体"/>
        <charset val="134"/>
      </rPr>
      <t>70</t>
    </r>
    <r>
      <rPr>
        <sz val="12"/>
        <rFont val="宋体"/>
        <charset val="134"/>
      </rPr>
      <t>#</t>
    </r>
    <r>
      <rPr>
        <sz val="12"/>
        <rFont val="宋体"/>
        <charset val="134"/>
      </rPr>
      <t>-198#</t>
    </r>
  </si>
  <si>
    <t>青海省</t>
  </si>
  <si>
    <t>258#-284#</t>
  </si>
  <si>
    <t>285#-291#</t>
  </si>
  <si>
    <t>292#-320#</t>
  </si>
  <si>
    <t>321#-344#</t>
  </si>
  <si>
    <t>345#-372#</t>
  </si>
  <si>
    <t>373#-403#</t>
  </si>
  <si>
    <t>乌兰县</t>
  </si>
  <si>
    <t>404#-423#</t>
  </si>
  <si>
    <t>424#-447#</t>
  </si>
  <si>
    <t>448#-473#</t>
  </si>
  <si>
    <r>
      <rPr>
        <sz val="12"/>
        <rFont val="宋体"/>
        <charset val="134"/>
      </rPr>
      <t>4</t>
    </r>
    <r>
      <rPr>
        <sz val="12"/>
        <rFont val="宋体"/>
        <charset val="134"/>
      </rPr>
      <t>74</t>
    </r>
    <r>
      <rPr>
        <sz val="12"/>
        <rFont val="宋体"/>
        <charset val="134"/>
      </rPr>
      <t>#</t>
    </r>
    <r>
      <rPr>
        <sz val="12"/>
        <rFont val="宋体"/>
        <charset val="134"/>
      </rPr>
      <t>-501#</t>
    </r>
  </si>
  <si>
    <t>502#-531#</t>
  </si>
  <si>
    <t>532#-559#</t>
  </si>
  <si>
    <t>560#-591#</t>
  </si>
  <si>
    <r>
      <rPr>
        <sz val="12"/>
        <rFont val="宋体"/>
        <charset val="134"/>
      </rPr>
      <t>5</t>
    </r>
    <r>
      <rPr>
        <sz val="12"/>
        <rFont val="宋体"/>
        <charset val="134"/>
      </rPr>
      <t>92</t>
    </r>
    <r>
      <rPr>
        <sz val="12"/>
        <rFont val="宋体"/>
        <charset val="134"/>
      </rPr>
      <t>#</t>
    </r>
    <r>
      <rPr>
        <sz val="12"/>
        <rFont val="宋体"/>
        <charset val="134"/>
      </rPr>
      <t>-621#</t>
    </r>
  </si>
  <si>
    <t>共和县</t>
  </si>
  <si>
    <t>622#-656#</t>
  </si>
  <si>
    <r>
      <rPr>
        <sz val="12"/>
        <rFont val="宋体"/>
        <charset val="134"/>
      </rPr>
      <t>6</t>
    </r>
    <r>
      <rPr>
        <sz val="12"/>
        <rFont val="宋体"/>
        <charset val="134"/>
      </rPr>
      <t>57</t>
    </r>
    <r>
      <rPr>
        <sz val="12"/>
        <rFont val="宋体"/>
        <charset val="134"/>
      </rPr>
      <t>#</t>
    </r>
    <r>
      <rPr>
        <sz val="12"/>
        <rFont val="宋体"/>
        <charset val="134"/>
      </rPr>
      <t>-690#</t>
    </r>
  </si>
  <si>
    <t>691#-717#</t>
  </si>
  <si>
    <t>西宁市</t>
  </si>
  <si>
    <t>718#-738#</t>
  </si>
  <si>
    <t>739#-758#</t>
  </si>
  <si>
    <t>759#-766#</t>
  </si>
  <si>
    <t>平安县</t>
  </si>
  <si>
    <t>767#-779#</t>
  </si>
  <si>
    <r>
      <rPr>
        <sz val="12"/>
        <rFont val="宋体"/>
        <charset val="134"/>
      </rPr>
      <t>7</t>
    </r>
    <r>
      <rPr>
        <sz val="12"/>
        <rFont val="宋体"/>
        <charset val="134"/>
      </rPr>
      <t>80</t>
    </r>
    <r>
      <rPr>
        <sz val="12"/>
        <rFont val="宋体"/>
        <charset val="134"/>
      </rPr>
      <t>#</t>
    </r>
    <r>
      <rPr>
        <sz val="12"/>
        <rFont val="宋体"/>
        <charset val="134"/>
      </rPr>
      <t>-791#</t>
    </r>
  </si>
  <si>
    <t>乐都县</t>
  </si>
  <si>
    <t>792#-807#</t>
  </si>
  <si>
    <t>808#-828#</t>
  </si>
  <si>
    <t>829#-847#</t>
  </si>
  <si>
    <t>民和县</t>
  </si>
  <si>
    <r>
      <rPr>
        <sz val="12"/>
        <rFont val="宋体"/>
        <charset val="134"/>
      </rPr>
      <t>8</t>
    </r>
    <r>
      <rPr>
        <sz val="12"/>
        <rFont val="宋体"/>
        <charset val="134"/>
      </rPr>
      <t>48</t>
    </r>
    <r>
      <rPr>
        <sz val="12"/>
        <rFont val="宋体"/>
        <charset val="134"/>
      </rPr>
      <t>#</t>
    </r>
    <r>
      <rPr>
        <sz val="12"/>
        <rFont val="宋体"/>
        <charset val="134"/>
      </rPr>
      <t>-861#</t>
    </r>
  </si>
  <si>
    <r>
      <rPr>
        <sz val="12"/>
        <rFont val="宋体"/>
        <charset val="134"/>
      </rPr>
      <t>8</t>
    </r>
    <r>
      <rPr>
        <sz val="12"/>
        <rFont val="宋体"/>
        <charset val="134"/>
      </rPr>
      <t>62</t>
    </r>
    <r>
      <rPr>
        <sz val="12"/>
        <rFont val="宋体"/>
        <charset val="134"/>
      </rPr>
      <t>#</t>
    </r>
    <r>
      <rPr>
        <sz val="12"/>
        <rFont val="宋体"/>
        <charset val="134"/>
      </rPr>
      <t>-878#</t>
    </r>
  </si>
  <si>
    <t>甘肃省</t>
  </si>
  <si>
    <r>
      <rPr>
        <sz val="12"/>
        <rFont val="宋体"/>
        <charset val="134"/>
      </rPr>
      <t>8</t>
    </r>
    <r>
      <rPr>
        <sz val="12"/>
        <rFont val="宋体"/>
        <charset val="134"/>
      </rPr>
      <t>79</t>
    </r>
    <r>
      <rPr>
        <sz val="12"/>
        <rFont val="宋体"/>
        <charset val="134"/>
      </rPr>
      <t>#</t>
    </r>
    <r>
      <rPr>
        <sz val="12"/>
        <rFont val="宋体"/>
        <charset val="134"/>
      </rPr>
      <t>-892#</t>
    </r>
  </si>
  <si>
    <t>893#-900#</t>
  </si>
  <si>
    <t>永登县</t>
  </si>
  <si>
    <t>河口末站</t>
  </si>
  <si>
    <t>901#-906#</t>
  </si>
  <si>
    <t>河口压气分输站</t>
  </si>
  <si>
    <t>907#-910#</t>
  </si>
  <si>
    <t>兰州市</t>
  </si>
  <si>
    <t>压力与压缩因子对照表</t>
  </si>
  <si>
    <t>压缩因子计算</t>
  </si>
  <si>
    <t>压力(MPa)</t>
  </si>
  <si>
    <t>压力段</t>
  </si>
  <si>
    <t>0～1</t>
  </si>
  <si>
    <t>1～2</t>
  </si>
  <si>
    <t>2～2.5</t>
  </si>
  <si>
    <t>2.5～3</t>
  </si>
  <si>
    <t>3～3.5</t>
  </si>
  <si>
    <t>3.5～4</t>
  </si>
  <si>
    <t>4～4.5</t>
  </si>
  <si>
    <t>4.5～5</t>
  </si>
  <si>
    <t>5～5.5</t>
  </si>
  <si>
    <t>5.5～6</t>
  </si>
  <si>
    <t>6～6.5</t>
  </si>
  <si>
    <t>6.5～7</t>
  </si>
  <si>
    <t>7～7.5</t>
  </si>
  <si>
    <t>7.5～8</t>
  </si>
  <si>
    <t>8～8.5</t>
  </si>
  <si>
    <t>8.5～9</t>
  </si>
  <si>
    <t>9～9.5</t>
  </si>
  <si>
    <t>9.5～9.9</t>
  </si>
  <si>
    <t>9.9～10</t>
  </si>
  <si>
    <t>10~10.5</t>
  </si>
  <si>
    <t>10.5~11</t>
  </si>
  <si>
    <t>分输量</t>
  </si>
  <si>
    <t>分输瞬时量</t>
  </si>
  <si>
    <t>开始分输时间</t>
  </si>
  <si>
    <t>结束分输时间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</si>
</sst>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_);[Red]\(0.00\)"/>
    <numFmt numFmtId="178" formatCode="0.00_ "/>
    <numFmt numFmtId="179" formatCode="h:mm;@"/>
    <numFmt numFmtId="180" formatCode="0.0_ "/>
    <numFmt numFmtId="181" formatCode="0_ "/>
    <numFmt numFmtId="182" formatCode="0_);[Red]\(0\)"/>
    <numFmt numFmtId="183" formatCode="yyyy/m/d\ h:mm;@"/>
    <numFmt numFmtId="184" formatCode="0.000_ "/>
  </numFmts>
  <fonts count="44">
    <font>
      <sz val="12"/>
      <name val="宋体"/>
      <charset val="134"/>
    </font>
    <font>
      <sz val="14"/>
      <name val="宋体"/>
      <charset val="134"/>
    </font>
    <font>
      <sz val="14"/>
      <name val="方正仿宋简体"/>
      <charset val="134"/>
    </font>
    <font>
      <sz val="12"/>
      <name val="方正仿宋简体"/>
      <charset val="134"/>
    </font>
    <font>
      <b/>
      <sz val="12"/>
      <name val="方正仿宋简体"/>
      <charset val="134"/>
    </font>
    <font>
      <b/>
      <sz val="16"/>
      <color indexed="8"/>
      <name val="宋体"/>
      <charset val="134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sz val="10.5"/>
      <color rgb="FF000000"/>
      <name val="宋体"/>
      <charset val="134"/>
    </font>
    <font>
      <sz val="11"/>
      <color indexed="10"/>
      <name val="宋体"/>
      <charset val="134"/>
    </font>
    <font>
      <sz val="10.5"/>
      <color indexed="8"/>
      <name val="宋体"/>
      <charset val="134"/>
    </font>
    <font>
      <sz val="11"/>
      <name val="宋体"/>
      <charset val="134"/>
    </font>
    <font>
      <b/>
      <sz val="16"/>
      <name val="宋体"/>
      <charset val="134"/>
    </font>
    <font>
      <b/>
      <sz val="12"/>
      <color indexed="8"/>
      <name val="宋体"/>
      <charset val="134"/>
    </font>
    <font>
      <sz val="14"/>
      <name val="Times New Roman"/>
      <charset val="134"/>
    </font>
    <font>
      <b/>
      <sz val="14"/>
      <color indexed="8"/>
      <name val="宋体"/>
      <charset val="134"/>
    </font>
    <font>
      <sz val="12"/>
      <color indexed="8"/>
      <name val="宋体"/>
      <charset val="134"/>
    </font>
    <font>
      <sz val="24"/>
      <name val="方正大黑简体"/>
      <charset val="134"/>
    </font>
    <font>
      <b/>
      <sz val="12"/>
      <name val="仿宋"/>
      <charset val="134"/>
    </font>
    <font>
      <b/>
      <sz val="14"/>
      <name val="仿宋"/>
      <charset val="134"/>
    </font>
    <font>
      <sz val="12"/>
      <color rgb="FF000000"/>
      <name val="Tahoma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rgb="FFFF0000"/>
      <name val="仿宋"/>
      <charset val="134"/>
    </font>
    <font>
      <b/>
      <sz val="12"/>
      <color rgb="FFFF0000"/>
      <name val="仿宋"/>
      <charset val="134"/>
    </font>
    <font>
      <b/>
      <vertAlign val="superscript"/>
      <sz val="12"/>
      <name val="仿宋"/>
      <charset val="134"/>
    </font>
  </fonts>
  <fills count="53">
    <fill>
      <patternFill patternType="none"/>
    </fill>
    <fill>
      <patternFill patternType="gray125"/>
    </fill>
    <fill>
      <patternFill patternType="solid">
        <fgColor indexed="1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43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25" borderId="18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9" applyNumberFormat="0" applyFill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26" borderId="21" applyNumberFormat="0" applyAlignment="0" applyProtection="0">
      <alignment vertical="center"/>
    </xf>
    <xf numFmtId="0" fontId="31" fillId="27" borderId="22" applyNumberFormat="0" applyAlignment="0" applyProtection="0">
      <alignment vertical="center"/>
    </xf>
    <xf numFmtId="0" fontId="32" fillId="27" borderId="21" applyNumberFormat="0" applyAlignment="0" applyProtection="0">
      <alignment vertical="center"/>
    </xf>
    <xf numFmtId="0" fontId="33" fillId="28" borderId="23" applyNumberFormat="0" applyAlignment="0" applyProtection="0">
      <alignment vertical="center"/>
    </xf>
    <xf numFmtId="0" fontId="34" fillId="0" borderId="24" applyNumberFormat="0" applyFill="0" applyAlignment="0" applyProtection="0">
      <alignment vertical="center"/>
    </xf>
    <xf numFmtId="0" fontId="35" fillId="0" borderId="25" applyNumberFormat="0" applyFill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1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</cellStyleXfs>
  <cellXfs count="17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22" fontId="1" fillId="0" borderId="1" xfId="0" applyNumberFormat="1" applyFont="1" applyBorder="1" applyAlignment="1">
      <alignment horizontal="center" vertical="center"/>
    </xf>
    <xf numFmtId="176" fontId="0" fillId="0" borderId="0" xfId="0" applyNumberFormat="1"/>
    <xf numFmtId="0" fontId="2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0" fillId="3" borderId="1" xfId="0" applyFill="1" applyBorder="1" applyAlignment="1">
      <alignment horizontal="center" vertical="center"/>
    </xf>
    <xf numFmtId="0" fontId="4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wrapText="1"/>
    </xf>
    <xf numFmtId="176" fontId="3" fillId="5" borderId="5" xfId="0" applyNumberFormat="1" applyFont="1" applyFill="1" applyBorder="1" applyAlignment="1">
      <alignment horizontal="center" wrapText="1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49" fontId="5" fillId="0" borderId="10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49" fontId="6" fillId="6" borderId="1" xfId="0" applyNumberFormat="1" applyFont="1" applyFill="1" applyBorder="1" applyAlignment="1">
      <alignment horizontal="center" vertical="center" wrapText="1"/>
    </xf>
    <xf numFmtId="49" fontId="0" fillId="6" borderId="1" xfId="0" applyNumberForma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 vertical="center" wrapText="1"/>
    </xf>
    <xf numFmtId="49" fontId="7" fillId="4" borderId="1" xfId="0" applyNumberFormat="1" applyFont="1" applyFill="1" applyBorder="1" applyAlignment="1">
      <alignment horizontal="center" vertical="center"/>
    </xf>
    <xf numFmtId="49" fontId="0" fillId="0" borderId="0" xfId="0" applyNumberFormat="1" applyBorder="1" applyAlignment="1">
      <alignment horizontal="center"/>
    </xf>
    <xf numFmtId="0" fontId="8" fillId="0" borderId="11" xfId="0" applyFont="1" applyBorder="1" applyAlignment="1">
      <alignment horizontal="center" vertical="top" wrapText="1"/>
    </xf>
    <xf numFmtId="0" fontId="9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10" fillId="0" borderId="1" xfId="53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0" fillId="0" borderId="13" xfId="52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4" borderId="0" xfId="0" applyNumberFormat="1" applyFill="1" applyAlignment="1">
      <alignment horizontal="center"/>
    </xf>
    <xf numFmtId="49" fontId="0" fillId="0" borderId="0" xfId="0" applyNumberFormat="1" applyFill="1" applyAlignment="1">
      <alignment horizontal="center"/>
    </xf>
    <xf numFmtId="0" fontId="0" fillId="0" borderId="1" xfId="0" applyNumberFormat="1" applyBorder="1" applyAlignment="1">
      <alignment horizontal="center" vertical="center"/>
    </xf>
    <xf numFmtId="0" fontId="0" fillId="0" borderId="13" xfId="54" applyBorder="1" applyAlignment="1">
      <alignment horizontal="center"/>
    </xf>
    <xf numFmtId="0" fontId="0" fillId="0" borderId="0" xfId="0" applyNumberFormat="1" applyAlignment="1">
      <alignment horizontal="center"/>
    </xf>
    <xf numFmtId="49" fontId="6" fillId="0" borderId="1" xfId="0" applyNumberFormat="1" applyFont="1" applyBorder="1" applyAlignment="1">
      <alignment horizontal="center" vertical="center"/>
    </xf>
    <xf numFmtId="0" fontId="0" fillId="0" borderId="15" xfId="54" applyFont="1" applyBorder="1" applyAlignment="1">
      <alignment horizontal="center"/>
    </xf>
    <xf numFmtId="0" fontId="0" fillId="0" borderId="1" xfId="54" applyBorder="1" applyAlignment="1">
      <alignment horizontal="center"/>
    </xf>
    <xf numFmtId="0" fontId="10" fillId="0" borderId="1" xfId="54" applyFont="1" applyBorder="1" applyAlignment="1">
      <alignment horizontal="center" vertical="center" wrapText="1"/>
    </xf>
    <xf numFmtId="49" fontId="0" fillId="4" borderId="1" xfId="0" applyNumberFormat="1" applyFill="1" applyBorder="1" applyAlignment="1">
      <alignment horizontal="center" vertical="center"/>
    </xf>
    <xf numFmtId="0" fontId="0" fillId="4" borderId="1" xfId="0" applyNumberFormat="1" applyFill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center" vertical="center"/>
    </xf>
    <xf numFmtId="0" fontId="11" fillId="0" borderId="1" xfId="0" applyNumberFormat="1" applyFont="1" applyFill="1" applyBorder="1" applyAlignment="1">
      <alignment horizontal="center" vertical="center"/>
    </xf>
    <xf numFmtId="49" fontId="12" fillId="7" borderId="16" xfId="0" applyNumberFormat="1" applyFont="1" applyFill="1" applyBorder="1" applyAlignment="1">
      <alignment horizontal="center" vertical="center"/>
    </xf>
    <xf numFmtId="49" fontId="12" fillId="7" borderId="10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49" fontId="14" fillId="7" borderId="1" xfId="0" applyNumberFormat="1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178" fontId="14" fillId="7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49" fontId="14" fillId="7" borderId="1" xfId="0" applyNumberFormat="1" applyFont="1" applyFill="1" applyBorder="1" applyAlignment="1">
      <alignment horizontal="center" vertical="top" wrapText="1"/>
    </xf>
    <xf numFmtId="49" fontId="1" fillId="7" borderId="1" xfId="0" applyNumberFormat="1" applyFont="1" applyFill="1" applyBorder="1" applyAlignment="1">
      <alignment horizontal="center" vertical="top" wrapText="1"/>
    </xf>
    <xf numFmtId="49" fontId="1" fillId="9" borderId="1" xfId="0" applyNumberFormat="1" applyFont="1" applyFill="1" applyBorder="1" applyAlignment="1">
      <alignment horizontal="center" vertical="top" wrapText="1"/>
    </xf>
    <xf numFmtId="0" fontId="0" fillId="0" borderId="0" xfId="0" applyBorder="1"/>
    <xf numFmtId="0" fontId="0" fillId="0" borderId="0" xfId="0" applyAlignment="1">
      <alignment horizontal="center" vertical="center"/>
    </xf>
    <xf numFmtId="179" fontId="0" fillId="0" borderId="0" xfId="0" applyNumberFormat="1"/>
    <xf numFmtId="0" fontId="15" fillId="0" borderId="12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/>
    </xf>
    <xf numFmtId="1" fontId="0" fillId="9" borderId="1" xfId="0" applyNumberFormat="1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 wrapText="1"/>
    </xf>
    <xf numFmtId="1" fontId="0" fillId="8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/>
    </xf>
    <xf numFmtId="1" fontId="0" fillId="11" borderId="1" xfId="0" applyNumberFormat="1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/>
    </xf>
    <xf numFmtId="1" fontId="0" fillId="12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16" fillId="15" borderId="1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16" fillId="12" borderId="1" xfId="0" applyFont="1" applyFill="1" applyBorder="1" applyAlignment="1">
      <alignment horizontal="center" vertical="center"/>
    </xf>
    <xf numFmtId="0" fontId="16" fillId="16" borderId="1" xfId="0" applyFont="1" applyFill="1" applyBorder="1" applyAlignment="1">
      <alignment horizontal="center" vertical="center"/>
    </xf>
    <xf numFmtId="0" fontId="16" fillId="17" borderId="1" xfId="0" applyFont="1" applyFill="1" applyBorder="1" applyAlignment="1">
      <alignment horizontal="center" vertical="center"/>
    </xf>
    <xf numFmtId="20" fontId="0" fillId="18" borderId="1" xfId="0" applyNumberFormat="1" applyFill="1" applyBorder="1" applyAlignment="1">
      <alignment horizontal="center" vertical="center"/>
    </xf>
    <xf numFmtId="177" fontId="0" fillId="18" borderId="1" xfId="0" applyNumberFormat="1" applyFill="1" applyBorder="1" applyAlignment="1">
      <alignment horizontal="center" vertical="center"/>
    </xf>
    <xf numFmtId="0" fontId="0" fillId="18" borderId="1" xfId="0" applyNumberFormat="1" applyFill="1" applyBorder="1" applyAlignment="1">
      <alignment horizontal="center" vertical="center"/>
    </xf>
    <xf numFmtId="179" fontId="0" fillId="0" borderId="0" xfId="0" applyNumberFormat="1" applyBorder="1"/>
    <xf numFmtId="0" fontId="0" fillId="18" borderId="1" xfId="0" applyFont="1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/>
    </xf>
    <xf numFmtId="0" fontId="0" fillId="19" borderId="1" xfId="0" applyFont="1" applyFill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15" fillId="0" borderId="15" xfId="0" applyNumberFormat="1" applyFont="1" applyBorder="1" applyAlignment="1">
      <alignment horizontal="center" vertical="center" wrapText="1"/>
    </xf>
    <xf numFmtId="177" fontId="0" fillId="10" borderId="1" xfId="0" applyNumberFormat="1" applyFont="1" applyFill="1" applyBorder="1" applyAlignment="1">
      <alignment horizontal="center" vertical="center"/>
    </xf>
    <xf numFmtId="177" fontId="0" fillId="9" borderId="1" xfId="0" applyNumberFormat="1" applyFont="1" applyFill="1" applyBorder="1" applyAlignment="1">
      <alignment horizontal="center" vertical="center" wrapText="1"/>
    </xf>
    <xf numFmtId="177" fontId="0" fillId="0" borderId="0" xfId="0" applyNumberFormat="1" applyFill="1" applyAlignment="1">
      <alignment horizontal="center" vertical="center"/>
    </xf>
    <xf numFmtId="0" fontId="0" fillId="0" borderId="0" xfId="0" applyFill="1" applyBorder="1"/>
    <xf numFmtId="177" fontId="0" fillId="0" borderId="0" xfId="0" applyNumberFormat="1"/>
    <xf numFmtId="178" fontId="0" fillId="0" borderId="0" xfId="0" applyNumberFormat="1"/>
    <xf numFmtId="0" fontId="17" fillId="0" borderId="0" xfId="0" applyFont="1" applyAlignment="1">
      <alignment horizontal="center" vertical="center"/>
    </xf>
    <xf numFmtId="0" fontId="18" fillId="20" borderId="1" xfId="0" applyFont="1" applyFill="1" applyBorder="1" applyAlignment="1">
      <alignment horizontal="center" vertical="center"/>
    </xf>
    <xf numFmtId="0" fontId="18" fillId="20" borderId="1" xfId="0" applyFont="1" applyFill="1" applyBorder="1" applyAlignment="1">
      <alignment horizontal="center" vertical="center" wrapText="1"/>
    </xf>
    <xf numFmtId="0" fontId="0" fillId="20" borderId="1" xfId="0" applyFont="1" applyFill="1" applyBorder="1" applyAlignment="1">
      <alignment horizontal="center" vertical="center"/>
    </xf>
    <xf numFmtId="0" fontId="0" fillId="21" borderId="1" xfId="0" applyFont="1" applyFill="1" applyBorder="1" applyAlignment="1">
      <alignment horizontal="center" vertical="center"/>
    </xf>
    <xf numFmtId="0" fontId="0" fillId="17" borderId="1" xfId="0" applyFont="1" applyFill="1" applyBorder="1" applyAlignment="1">
      <alignment horizontal="center" vertical="center"/>
    </xf>
    <xf numFmtId="180" fontId="0" fillId="6" borderId="1" xfId="0" applyNumberFormat="1" applyFont="1" applyFill="1" applyBorder="1" applyAlignment="1">
      <alignment horizontal="center" vertical="center"/>
    </xf>
    <xf numFmtId="178" fontId="0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180" fontId="0" fillId="0" borderId="0" xfId="0" applyNumberFormat="1" applyFont="1" applyFill="1" applyBorder="1" applyAlignment="1">
      <alignment horizontal="center" vertical="center"/>
    </xf>
    <xf numFmtId="178" fontId="0" fillId="0" borderId="0" xfId="0" applyNumberFormat="1" applyFont="1" applyFill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178" fontId="0" fillId="0" borderId="15" xfId="0" applyNumberFormat="1" applyFont="1" applyFill="1" applyBorder="1" applyAlignment="1">
      <alignment horizontal="center" vertical="center"/>
    </xf>
    <xf numFmtId="180" fontId="1" fillId="0" borderId="0" xfId="0" applyNumberFormat="1" applyFont="1" applyAlignment="1">
      <alignment horizontal="center" vertical="center"/>
    </xf>
    <xf numFmtId="0" fontId="0" fillId="21" borderId="1" xfId="0" applyFont="1" applyFill="1" applyBorder="1" applyAlignment="1">
      <alignment horizontal="center" vertical="center" wrapText="1"/>
    </xf>
    <xf numFmtId="0" fontId="0" fillId="17" borderId="1" xfId="0" applyFont="1" applyFill="1" applyBorder="1" applyAlignment="1">
      <alignment horizontal="center" vertical="center" wrapText="1"/>
    </xf>
    <xf numFmtId="180" fontId="0" fillId="22" borderId="1" xfId="0" applyNumberFormat="1" applyFont="1" applyFill="1" applyBorder="1" applyAlignment="1">
      <alignment horizontal="center" vertical="center"/>
    </xf>
    <xf numFmtId="178" fontId="17" fillId="0" borderId="0" xfId="0" applyNumberFormat="1" applyFont="1" applyAlignment="1">
      <alignment horizontal="center" vertical="center"/>
    </xf>
    <xf numFmtId="177" fontId="18" fillId="20" borderId="1" xfId="0" applyNumberFormat="1" applyFont="1" applyFill="1" applyBorder="1" applyAlignment="1">
      <alignment horizontal="center" vertical="center" wrapText="1"/>
    </xf>
    <xf numFmtId="178" fontId="18" fillId="20" borderId="1" xfId="0" applyNumberFormat="1" applyFont="1" applyFill="1" applyBorder="1" applyAlignment="1">
      <alignment horizontal="center" vertical="center" wrapText="1"/>
    </xf>
    <xf numFmtId="177" fontId="0" fillId="6" borderId="1" xfId="0" applyNumberFormat="1" applyFont="1" applyFill="1" applyBorder="1" applyAlignment="1">
      <alignment horizontal="center" vertical="center"/>
    </xf>
    <xf numFmtId="176" fontId="0" fillId="6" borderId="1" xfId="0" applyNumberFormat="1" applyFont="1" applyFill="1" applyBorder="1" applyAlignment="1">
      <alignment horizontal="center" vertical="center"/>
    </xf>
    <xf numFmtId="178" fontId="0" fillId="6" borderId="1" xfId="0" applyNumberFormat="1" applyFont="1" applyFill="1" applyBorder="1" applyAlignment="1">
      <alignment horizontal="center" vertical="center"/>
    </xf>
    <xf numFmtId="181" fontId="0" fillId="0" borderId="1" xfId="0" applyNumberFormat="1" applyFont="1" applyFill="1" applyBorder="1" applyAlignment="1">
      <alignment horizontal="center" vertical="center"/>
    </xf>
    <xf numFmtId="22" fontId="0" fillId="0" borderId="1" xfId="0" applyNumberFormat="1" applyFont="1" applyBorder="1" applyAlignment="1">
      <alignment horizontal="center" vertical="center"/>
    </xf>
    <xf numFmtId="22" fontId="0" fillId="21" borderId="1" xfId="0" applyNumberFormat="1" applyFont="1" applyFill="1" applyBorder="1" applyAlignment="1">
      <alignment horizontal="center" vertical="center"/>
    </xf>
    <xf numFmtId="0" fontId="0" fillId="6" borderId="1" xfId="0" applyNumberFormat="1" applyFont="1" applyFill="1" applyBorder="1" applyAlignment="1">
      <alignment horizontal="center" vertical="center"/>
    </xf>
    <xf numFmtId="177" fontId="0" fillId="0" borderId="0" xfId="0" applyNumberFormat="1" applyFont="1" applyFill="1" applyBorder="1" applyAlignment="1">
      <alignment horizontal="center" vertical="center"/>
    </xf>
    <xf numFmtId="176" fontId="0" fillId="0" borderId="0" xfId="0" applyNumberFormat="1" applyFont="1" applyFill="1" applyBorder="1" applyAlignment="1">
      <alignment horizontal="center" vertical="center"/>
    </xf>
    <xf numFmtId="181" fontId="0" fillId="0" borderId="0" xfId="0" applyNumberFormat="1" applyFont="1" applyFill="1" applyBorder="1" applyAlignment="1">
      <alignment horizontal="center" vertical="center"/>
    </xf>
    <xf numFmtId="22" fontId="0" fillId="0" borderId="0" xfId="0" applyNumberFormat="1" applyFont="1" applyFill="1" applyBorder="1" applyAlignment="1">
      <alignment horizontal="center" vertical="center"/>
    </xf>
    <xf numFmtId="177" fontId="0" fillId="6" borderId="15" xfId="0" applyNumberFormat="1" applyFont="1" applyFill="1" applyBorder="1" applyAlignment="1">
      <alignment horizontal="center" vertical="center"/>
    </xf>
    <xf numFmtId="176" fontId="0" fillId="6" borderId="15" xfId="0" applyNumberFormat="1" applyFont="1" applyFill="1" applyBorder="1" applyAlignment="1">
      <alignment horizontal="center" vertical="center"/>
    </xf>
    <xf numFmtId="180" fontId="0" fillId="6" borderId="15" xfId="0" applyNumberFormat="1" applyFont="1" applyFill="1" applyBorder="1" applyAlignment="1">
      <alignment horizontal="center" vertical="center"/>
    </xf>
    <xf numFmtId="178" fontId="0" fillId="6" borderId="15" xfId="0" applyNumberFormat="1" applyFont="1" applyFill="1" applyBorder="1" applyAlignment="1">
      <alignment horizontal="center" vertical="center"/>
    </xf>
    <xf numFmtId="180" fontId="0" fillId="0" borderId="15" xfId="0" applyNumberFormat="1" applyFont="1" applyFill="1" applyBorder="1" applyAlignment="1">
      <alignment horizontal="center" vertical="center"/>
    </xf>
    <xf numFmtId="22" fontId="0" fillId="0" borderId="15" xfId="0" applyNumberFormat="1" applyFont="1" applyBorder="1" applyAlignment="1">
      <alignment horizontal="center" vertical="center"/>
    </xf>
    <xf numFmtId="22" fontId="0" fillId="21" borderId="15" xfId="0" applyNumberFormat="1" applyFont="1" applyFill="1" applyBorder="1" applyAlignment="1">
      <alignment horizontal="center" vertical="center"/>
    </xf>
    <xf numFmtId="180" fontId="0" fillId="23" borderId="1" xfId="0" applyNumberFormat="1" applyFont="1" applyFill="1" applyBorder="1" applyAlignment="1">
      <alignment horizontal="center" vertical="center"/>
    </xf>
    <xf numFmtId="178" fontId="0" fillId="23" borderId="1" xfId="0" applyNumberFormat="1" applyFont="1" applyFill="1" applyBorder="1" applyAlignment="1">
      <alignment horizontal="center" vertical="center"/>
    </xf>
    <xf numFmtId="180" fontId="0" fillId="0" borderId="1" xfId="0" applyNumberFormat="1" applyFont="1" applyFill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19" fillId="20" borderId="1" xfId="0" applyFont="1" applyFill="1" applyBorder="1" applyAlignment="1">
      <alignment horizontal="center" vertical="center"/>
    </xf>
    <xf numFmtId="0" fontId="19" fillId="20" borderId="1" xfId="0" applyFont="1" applyFill="1" applyBorder="1" applyAlignment="1">
      <alignment horizontal="center" vertical="center" wrapText="1"/>
    </xf>
    <xf numFmtId="0" fontId="1" fillId="20" borderId="1" xfId="0" applyFont="1" applyFill="1" applyBorder="1" applyAlignment="1">
      <alignment horizontal="center" vertical="center"/>
    </xf>
    <xf numFmtId="0" fontId="1" fillId="21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180" fontId="1" fillId="6" borderId="1" xfId="0" applyNumberFormat="1" applyFont="1" applyFill="1" applyBorder="1" applyAlignment="1">
      <alignment horizontal="center" vertical="center"/>
    </xf>
    <xf numFmtId="182" fontId="1" fillId="6" borderId="1" xfId="0" applyNumberFormat="1" applyFont="1" applyFill="1" applyBorder="1" applyAlignment="1">
      <alignment horizontal="center" vertical="center"/>
    </xf>
    <xf numFmtId="181" fontId="1" fillId="6" borderId="1" xfId="0" applyNumberFormat="1" applyFont="1" applyFill="1" applyBorder="1" applyAlignment="1">
      <alignment horizontal="center" vertical="center"/>
    </xf>
    <xf numFmtId="22" fontId="0" fillId="0" borderId="0" xfId="0" applyNumberFormat="1"/>
    <xf numFmtId="183" fontId="0" fillId="0" borderId="0" xfId="0" applyNumberFormat="1"/>
    <xf numFmtId="184" fontId="0" fillId="0" borderId="0" xfId="0" applyNumberFormat="1"/>
    <xf numFmtId="177" fontId="1" fillId="24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2" fontId="1" fillId="21" borderId="1" xfId="0" applyNumberFormat="1" applyFont="1" applyFill="1" applyBorder="1" applyAlignment="1">
      <alignment horizontal="center" vertical="center"/>
    </xf>
    <xf numFmtId="22" fontId="20" fillId="0" borderId="0" xfId="0" applyNumberFormat="1" applyFont="1" applyAlignment="1">
      <alignment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  <cellStyle name="常规_Sheet1" xfId="52"/>
    <cellStyle name="常规_轮吐线" xfId="53"/>
    <cellStyle name="常规_西一线" xfId="54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www.wps.cn/officeDocument/2023/relationships/customStorage" Target="customStorage/customStorage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externalLink" Target="externalLinks/externalLink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247650</xdr:colOff>
      <xdr:row>26</xdr:row>
      <xdr:rowOff>9525</xdr:rowOff>
    </xdr:from>
    <xdr:to>
      <xdr:col>13</xdr:col>
      <xdr:colOff>457200</xdr:colOff>
      <xdr:row>51</xdr:row>
      <xdr:rowOff>133350</xdr:rowOff>
    </xdr:to>
    <xdr:pic>
      <xdr:nvPicPr>
        <xdr:cNvPr id="2" name="Picture 3" descr="C:\Documents and Settings\Administrator\Application Data\Tencent\Users\158108747\QQ\WinTemp\RichOle\]DD[$LNT$A1NA%EX4Y{@(@R.jpg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47650" y="5375275"/>
          <a:ext cx="9163050" cy="488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li-g-\AppData\Roaming\kingsoft\office6\backup\&#28165;&#31649;&#22120;&#21040;&#36798;&#26102;&#38388;&#35745;&#31639;&#22120;&#29976;&#32899;&#20844;&#2149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液体计算"/>
      <sheetName val="气体计算"/>
      <sheetName val="鄯兰线"/>
      <sheetName val="乌兰线"/>
      <sheetName val="西一线"/>
      <sheetName val="西二线"/>
      <sheetName val="西三线"/>
      <sheetName val="轮吐线"/>
      <sheetName val="涩宁兰一线"/>
      <sheetName val="涩宁兰复线"/>
      <sheetName val="压缩因子"/>
      <sheetName val="西四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B2" t="str">
            <v>红柳压气站</v>
          </cell>
          <cell r="C2">
            <v>55.2</v>
          </cell>
        </row>
        <row r="3">
          <cell r="B3" t="str">
            <v>19#</v>
          </cell>
          <cell r="C3">
            <v>87.2</v>
          </cell>
        </row>
        <row r="4">
          <cell r="B4" t="str">
            <v>20#</v>
          </cell>
          <cell r="C4">
            <v>118.6</v>
          </cell>
        </row>
        <row r="5">
          <cell r="B5" t="str">
            <v>21#</v>
          </cell>
          <cell r="C5">
            <v>137.7</v>
          </cell>
        </row>
        <row r="6">
          <cell r="B6" t="str">
            <v>22#</v>
          </cell>
          <cell r="C6">
            <v>157</v>
          </cell>
        </row>
        <row r="7">
          <cell r="B7" t="str">
            <v>23#</v>
          </cell>
          <cell r="C7">
            <v>189</v>
          </cell>
        </row>
        <row r="8">
          <cell r="B8" t="str">
            <v>24#</v>
          </cell>
          <cell r="C8">
            <v>220.7</v>
          </cell>
        </row>
        <row r="9">
          <cell r="B9" t="str">
            <v>瓜州压气站</v>
          </cell>
          <cell r="C9">
            <v>252.7</v>
          </cell>
        </row>
        <row r="10">
          <cell r="B10" t="str">
            <v>25#</v>
          </cell>
          <cell r="C10">
            <v>269.6</v>
          </cell>
        </row>
        <row r="11">
          <cell r="B11" t="str">
            <v>26#</v>
          </cell>
          <cell r="C11">
            <v>291.9</v>
          </cell>
        </row>
        <row r="12">
          <cell r="B12" t="str">
            <v>27#</v>
          </cell>
          <cell r="C12">
            <v>307.6</v>
          </cell>
        </row>
        <row r="13">
          <cell r="B13" t="str">
            <v>28#</v>
          </cell>
          <cell r="C13">
            <v>332.2</v>
          </cell>
        </row>
        <row r="14">
          <cell r="B14" t="str">
            <v>29#</v>
          </cell>
          <cell r="C14">
            <v>350.9</v>
          </cell>
        </row>
        <row r="15">
          <cell r="B15" t="str">
            <v>30#</v>
          </cell>
          <cell r="C15">
            <v>374.9</v>
          </cell>
        </row>
        <row r="16">
          <cell r="B16" t="str">
            <v>31#</v>
          </cell>
          <cell r="C16">
            <v>406.9</v>
          </cell>
        </row>
        <row r="17">
          <cell r="B17" t="str">
            <v>嘉峪关压气站</v>
          </cell>
          <cell r="C17">
            <v>435.7</v>
          </cell>
        </row>
        <row r="18">
          <cell r="B18" t="str">
            <v>32#</v>
          </cell>
          <cell r="C18">
            <v>461.3</v>
          </cell>
        </row>
        <row r="19">
          <cell r="B19" t="str">
            <v>33#</v>
          </cell>
          <cell r="C19">
            <v>491</v>
          </cell>
        </row>
        <row r="20">
          <cell r="B20" t="str">
            <v>34#</v>
          </cell>
          <cell r="C20">
            <v>523</v>
          </cell>
        </row>
        <row r="21">
          <cell r="B21" t="str">
            <v>35#</v>
          </cell>
          <cell r="C21">
            <v>550.1</v>
          </cell>
        </row>
        <row r="22">
          <cell r="B22" t="str">
            <v>36#</v>
          </cell>
          <cell r="C22">
            <v>577.8</v>
          </cell>
        </row>
        <row r="23">
          <cell r="B23" t="str">
            <v>37#</v>
          </cell>
          <cell r="C23">
            <v>609.5</v>
          </cell>
        </row>
        <row r="24">
          <cell r="B24" t="str">
            <v>38#</v>
          </cell>
          <cell r="C24">
            <v>623.5</v>
          </cell>
        </row>
        <row r="25">
          <cell r="B25" t="str">
            <v>张掖压气站</v>
          </cell>
          <cell r="C25">
            <v>635.7</v>
          </cell>
        </row>
        <row r="26">
          <cell r="B26" t="str">
            <v>39#</v>
          </cell>
          <cell r="C26">
            <v>655.9</v>
          </cell>
        </row>
        <row r="27">
          <cell r="B27" t="str">
            <v>40#</v>
          </cell>
          <cell r="C27">
            <v>673.2</v>
          </cell>
        </row>
        <row r="28">
          <cell r="B28" t="str">
            <v>41#</v>
          </cell>
          <cell r="C28">
            <v>704</v>
          </cell>
        </row>
        <row r="29">
          <cell r="B29" t="str">
            <v>42#</v>
          </cell>
          <cell r="C29">
            <v>735</v>
          </cell>
        </row>
        <row r="30">
          <cell r="B30" t="str">
            <v>43#</v>
          </cell>
          <cell r="C30">
            <v>765.2</v>
          </cell>
        </row>
        <row r="31">
          <cell r="B31" t="str">
            <v>永昌压气站</v>
          </cell>
          <cell r="C31">
            <v>796.8</v>
          </cell>
        </row>
        <row r="32">
          <cell r="B32" t="str">
            <v>44#</v>
          </cell>
          <cell r="C32">
            <v>811.8</v>
          </cell>
        </row>
        <row r="33">
          <cell r="B33" t="str">
            <v>45#</v>
          </cell>
          <cell r="C33">
            <v>827.3</v>
          </cell>
        </row>
        <row r="34">
          <cell r="B34" t="str">
            <v>46#</v>
          </cell>
          <cell r="C34">
            <v>848.6</v>
          </cell>
        </row>
        <row r="35">
          <cell r="B35" t="str">
            <v>47#</v>
          </cell>
          <cell r="C35">
            <v>867.3</v>
          </cell>
        </row>
        <row r="36">
          <cell r="B36" t="str">
            <v>48#</v>
          </cell>
          <cell r="C36">
            <v>890.9</v>
          </cell>
        </row>
        <row r="37">
          <cell r="B37" t="str">
            <v>民勤清管阀室</v>
          </cell>
          <cell r="C37">
            <v>912.4</v>
          </cell>
        </row>
        <row r="38">
          <cell r="B38" t="str">
            <v>49#</v>
          </cell>
          <cell r="C38">
            <v>943.5</v>
          </cell>
        </row>
        <row r="39">
          <cell r="B39" t="str">
            <v>50#</v>
          </cell>
          <cell r="C39">
            <v>975.3</v>
          </cell>
        </row>
        <row r="40">
          <cell r="B40" t="str">
            <v>51#</v>
          </cell>
          <cell r="C40">
            <v>1006.2</v>
          </cell>
        </row>
        <row r="41">
          <cell r="B41" t="str">
            <v>52#</v>
          </cell>
          <cell r="C41">
            <v>1028</v>
          </cell>
        </row>
        <row r="42">
          <cell r="B42" t="str">
            <v>古浪压气站</v>
          </cell>
          <cell r="C42">
            <v>1045.1</v>
          </cell>
        </row>
        <row r="43">
          <cell r="B43" t="str">
            <v>53#</v>
          </cell>
          <cell r="C43">
            <v>1076.2</v>
          </cell>
        </row>
        <row r="44">
          <cell r="B44" t="str">
            <v>54#</v>
          </cell>
          <cell r="C44">
            <v>1107.7</v>
          </cell>
        </row>
        <row r="45">
          <cell r="B45" t="str">
            <v>55#</v>
          </cell>
          <cell r="C45">
            <v>1126.4</v>
          </cell>
        </row>
        <row r="46">
          <cell r="B46" t="str">
            <v>56#</v>
          </cell>
          <cell r="C46">
            <v>1153.4</v>
          </cell>
        </row>
        <row r="47">
          <cell r="B47" t="str">
            <v>57#</v>
          </cell>
          <cell r="C47">
            <v>1181.1</v>
          </cell>
        </row>
        <row r="48">
          <cell r="B48" t="str">
            <v>58#</v>
          </cell>
          <cell r="C48">
            <v>1188.7</v>
          </cell>
        </row>
        <row r="49">
          <cell r="B49" t="str">
            <v>中卫联络站</v>
          </cell>
          <cell r="C49">
            <v>1197.4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rgb="FFFF0000"/>
  </sheetPr>
  <dimension ref="A1:L29"/>
  <sheetViews>
    <sheetView tabSelected="1" zoomScale="85" zoomScaleNormal="85" workbookViewId="0">
      <selection activeCell="K6" sqref="K6"/>
    </sheetView>
  </sheetViews>
  <sheetFormatPr defaultColWidth="9" defaultRowHeight="15"/>
  <cols>
    <col min="1" max="1" width="6.625" customWidth="1"/>
    <col min="2" max="2" width="17" customWidth="1"/>
    <col min="3" max="3" width="24.3" customWidth="1"/>
    <col min="4" max="4" width="19.4" customWidth="1"/>
    <col min="5" max="5" width="18.75" customWidth="1"/>
    <col min="6" max="6" width="23.7" customWidth="1"/>
    <col min="7" max="7" width="18.8" customWidth="1"/>
    <col min="8" max="8" width="15.1" customWidth="1"/>
    <col min="9" max="9" width="10.75" customWidth="1"/>
    <col min="10" max="10" width="10.875" customWidth="1"/>
    <col min="11" max="11" width="21.5" customWidth="1"/>
    <col min="12" max="12" width="24.375" customWidth="1"/>
  </cols>
  <sheetData>
    <row r="1" ht="52.5" customHeight="1" spans="2:12">
      <c r="B1" s="114" t="s">
        <v>0</v>
      </c>
      <c r="C1" s="114"/>
      <c r="D1" s="114"/>
      <c r="E1" s="114"/>
      <c r="F1" s="114"/>
      <c r="G1" s="114"/>
      <c r="H1" s="114"/>
      <c r="I1" s="114"/>
      <c r="J1" s="114"/>
      <c r="K1" s="114"/>
      <c r="L1" s="114"/>
    </row>
    <row r="2" ht="35" spans="1:12">
      <c r="A2" s="158" t="s">
        <v>1</v>
      </c>
      <c r="B2" s="158" t="s">
        <v>2</v>
      </c>
      <c r="C2" s="159" t="s">
        <v>3</v>
      </c>
      <c r="D2" s="159" t="s">
        <v>4</v>
      </c>
      <c r="E2" s="159" t="s">
        <v>5</v>
      </c>
      <c r="F2" s="159" t="s">
        <v>4</v>
      </c>
      <c r="G2" s="159" t="s">
        <v>6</v>
      </c>
      <c r="H2" s="159" t="s">
        <v>7</v>
      </c>
      <c r="I2" s="159" t="s">
        <v>8</v>
      </c>
      <c r="J2" s="158" t="s">
        <v>9</v>
      </c>
      <c r="K2" s="158" t="s">
        <v>10</v>
      </c>
      <c r="L2" s="159" t="s">
        <v>11</v>
      </c>
    </row>
    <row r="3" ht="30" customHeight="1" spans="1:12">
      <c r="A3" s="160">
        <v>1</v>
      </c>
      <c r="B3" s="161" t="s">
        <v>12</v>
      </c>
      <c r="C3" s="162" t="s">
        <v>13</v>
      </c>
      <c r="D3" s="163">
        <f>VLOOKUP(C3,石兰线!B3:C15,2,)</f>
        <v>59</v>
      </c>
      <c r="E3" s="162" t="s">
        <v>14</v>
      </c>
      <c r="F3" s="163">
        <f>VLOOKUP(E3,石兰线!B3:C15,2,)</f>
        <v>129.8</v>
      </c>
      <c r="G3" s="163">
        <f>F3-D3</f>
        <v>70.8</v>
      </c>
      <c r="H3" s="164">
        <f>VLOOKUP(C3,石兰线!B3:F15,4,)</f>
        <v>154</v>
      </c>
      <c r="I3" s="169">
        <f>J3/H3</f>
        <v>5.47402597402597</v>
      </c>
      <c r="J3" s="170">
        <v>843</v>
      </c>
      <c r="K3" s="3">
        <v>46125.7333333333</v>
      </c>
      <c r="L3" s="171">
        <f>(G3/(J3/H3)/24)+K3</f>
        <v>46126.2722419929</v>
      </c>
    </row>
    <row r="4" ht="30" customHeight="1" spans="1:12">
      <c r="A4" s="160">
        <v>2</v>
      </c>
      <c r="B4" s="161" t="s">
        <v>15</v>
      </c>
      <c r="C4" s="162" t="s">
        <v>16</v>
      </c>
      <c r="D4" s="163">
        <f>VLOOKUP(C4,鄯兰线!B3:C59,2,)</f>
        <v>1837.9</v>
      </c>
      <c r="E4" s="162" t="s">
        <v>17</v>
      </c>
      <c r="F4" s="163">
        <f>VLOOKUP(E4,鄯兰线!B3:C59,2,)</f>
        <v>1842.35</v>
      </c>
      <c r="G4" s="163">
        <f>F4-D4</f>
        <v>4.44999999999982</v>
      </c>
      <c r="H4" s="164">
        <f>VLOOKUP(C4,鄯兰线!B3:F59,4,)</f>
        <v>373</v>
      </c>
      <c r="I4" s="169">
        <f>J4/H4</f>
        <v>5.36461126005362</v>
      </c>
      <c r="J4" s="170">
        <v>2001</v>
      </c>
      <c r="K4" s="3">
        <v>45836.375</v>
      </c>
      <c r="L4" s="171">
        <f>(G4/(J4/H4)/24)+K4</f>
        <v>45836.4095629269</v>
      </c>
    </row>
    <row r="5" ht="30" customHeight="1" spans="1:12">
      <c r="A5" s="160">
        <v>3</v>
      </c>
      <c r="B5" s="161" t="s">
        <v>18</v>
      </c>
      <c r="C5" s="162" t="s">
        <v>19</v>
      </c>
      <c r="D5" s="163">
        <f>VLOOKUP(C5,兰成线!B3:C59,2,)</f>
        <v>231.2</v>
      </c>
      <c r="E5" s="162" t="s">
        <v>20</v>
      </c>
      <c r="F5" s="163">
        <f>VLOOKUP(E5,兰成线!B3:E59,2,)</f>
        <v>258.2</v>
      </c>
      <c r="G5" s="163">
        <f>F5-D5</f>
        <v>27</v>
      </c>
      <c r="H5" s="164">
        <f>VLOOKUP(C5,兰成线!B3:F59,4,)</f>
        <v>292.23</v>
      </c>
      <c r="I5" s="169">
        <v>4.52</v>
      </c>
      <c r="J5" s="170">
        <v>1233</v>
      </c>
      <c r="K5" s="3">
        <v>46112.2381944444</v>
      </c>
      <c r="L5" s="171">
        <f>(G5/(J5/H5)/24)+K5</f>
        <v>46112.5048276561</v>
      </c>
    </row>
    <row r="6" ht="30" customHeight="1" spans="1:12">
      <c r="A6" s="160">
        <v>4</v>
      </c>
      <c r="B6" s="161" t="s">
        <v>21</v>
      </c>
      <c r="C6" s="162" t="s">
        <v>22</v>
      </c>
      <c r="D6" s="163">
        <f>VLOOKUP(C6,乌兰线!B3:C69,2,)</f>
        <v>1809.17</v>
      </c>
      <c r="E6" s="162" t="s">
        <v>17</v>
      </c>
      <c r="F6" s="163">
        <f>VLOOKUP(E6,乌兰线!B3:C69,2,)</f>
        <v>1842.35</v>
      </c>
      <c r="G6" s="163">
        <f>F6-D6</f>
        <v>33.1799999999998</v>
      </c>
      <c r="H6" s="165">
        <f>VLOOKUP(C6,乌兰线!B3:F69,4,)</f>
        <v>191</v>
      </c>
      <c r="I6" s="169">
        <f>J6/H6</f>
        <v>3.17801047120419</v>
      </c>
      <c r="J6" s="170">
        <v>607</v>
      </c>
      <c r="K6" s="3">
        <v>45761.9986111111</v>
      </c>
      <c r="L6" s="171">
        <f>(G6/(J6/H6)/24)+K6</f>
        <v>45762.4336317042</v>
      </c>
    </row>
    <row r="7" ht="17.5" spans="1:12">
      <c r="A7" s="160">
        <v>5</v>
      </c>
      <c r="B7" s="161" t="s">
        <v>23</v>
      </c>
      <c r="C7" s="162" t="s">
        <v>24</v>
      </c>
      <c r="D7" s="163">
        <f>VLOOKUP(C7,兰成渝!B3:C40,2,)</f>
        <v>93.8</v>
      </c>
      <c r="E7" s="162" t="s">
        <v>25</v>
      </c>
      <c r="F7" s="163">
        <f>VLOOKUP(E7,兰成渝!B3:C40,2,)</f>
        <v>196.4</v>
      </c>
      <c r="G7" s="163">
        <f>F7-D7</f>
        <v>102.6</v>
      </c>
      <c r="H7" s="165" t="str">
        <f>VLOOKUP(C7,兰成渝!B4:F70,4,)</f>
        <v>186</v>
      </c>
      <c r="I7" s="169">
        <f>J7/H7</f>
        <v>4.3010752688172</v>
      </c>
      <c r="J7" s="170">
        <v>800</v>
      </c>
      <c r="K7" s="3">
        <v>45757</v>
      </c>
      <c r="L7" s="171">
        <f t="shared" ref="L7" si="0">(G7/(J7/H7)/24)+K7</f>
        <v>45757.9939375</v>
      </c>
    </row>
    <row r="8" ht="17.5" spans="1:12">
      <c r="A8" s="160">
        <v>6</v>
      </c>
      <c r="B8" s="161" t="s">
        <v>26</v>
      </c>
      <c r="C8" s="162" t="s">
        <v>27</v>
      </c>
      <c r="D8" s="163">
        <f>VLOOKUP(C8,兰郑长!B3:C14,2,)</f>
        <v>0</v>
      </c>
      <c r="E8" s="162" t="s">
        <v>28</v>
      </c>
      <c r="F8" s="163">
        <f>VLOOKUP(E8,兰郑长!B3:C13,2,)</f>
        <v>143.9</v>
      </c>
      <c r="G8" s="163">
        <f t="shared" ref="G8" si="1">F8-D8</f>
        <v>143.9</v>
      </c>
      <c r="H8" s="163">
        <f>VLOOKUP(E8,兰郑长!B3:E14,4,)</f>
        <v>292.23</v>
      </c>
      <c r="I8" s="169">
        <f t="shared" ref="I8" si="2">J8/H8</f>
        <v>1.71098107654929</v>
      </c>
      <c r="J8" s="170">
        <v>500</v>
      </c>
      <c r="K8" s="3">
        <v>42498.6763888889</v>
      </c>
      <c r="L8" s="171">
        <f t="shared" ref="L8" si="3">(G8/(J8/H8)/24)+K8</f>
        <v>42502.1807136389</v>
      </c>
    </row>
    <row r="9" spans="4:12">
      <c r="D9" s="73"/>
      <c r="E9" s="73"/>
      <c r="F9" s="73"/>
      <c r="G9" s="73"/>
      <c r="H9" s="73"/>
      <c r="I9" s="73"/>
      <c r="J9" s="73"/>
      <c r="K9" s="73"/>
      <c r="L9" s="73"/>
    </row>
    <row r="10" spans="4:7">
      <c r="D10" t="s">
        <v>29</v>
      </c>
      <c r="E10" t="s">
        <v>30</v>
      </c>
      <c r="F10" t="s">
        <v>31</v>
      </c>
      <c r="G10" t="s">
        <v>9</v>
      </c>
    </row>
    <row r="11" spans="2:7">
      <c r="B11" t="s">
        <v>32</v>
      </c>
      <c r="D11">
        <v>19989.2</v>
      </c>
      <c r="E11">
        <v>28859.6</v>
      </c>
      <c r="F11">
        <v>40070.8</v>
      </c>
      <c r="G11">
        <v>670</v>
      </c>
    </row>
    <row r="12" spans="2:6">
      <c r="B12" t="s">
        <v>33</v>
      </c>
      <c r="C12" s="166">
        <v>45738.3256944444</v>
      </c>
      <c r="D12" s="167">
        <f>D11/$G$11/24+$C$12</f>
        <v>45739.5688038971</v>
      </c>
      <c r="E12" s="167">
        <f>E11/$G$11/24+$C$12</f>
        <v>45740.1204456882</v>
      </c>
      <c r="F12" s="167">
        <f>F11/$G$11/24+$C$12</f>
        <v>45740.8176596185</v>
      </c>
    </row>
    <row r="13" spans="5:7">
      <c r="E13" s="167">
        <v>45740.0625</v>
      </c>
      <c r="F13" s="166">
        <v>45740.7388888889</v>
      </c>
      <c r="G13">
        <v>690</v>
      </c>
    </row>
    <row r="14" spans="5:7">
      <c r="E14" s="167">
        <v>45740.1618055556</v>
      </c>
      <c r="F14" s="166">
        <v>45740.9145833333</v>
      </c>
      <c r="G14">
        <v>620</v>
      </c>
    </row>
    <row r="15" ht="17.5" spans="11:11">
      <c r="K15" s="3">
        <v>45703.5</v>
      </c>
    </row>
    <row r="17" spans="7:7">
      <c r="G17" t="s">
        <v>34</v>
      </c>
    </row>
    <row r="18" spans="11:12">
      <c r="K18" s="172">
        <v>46056.6597222222</v>
      </c>
      <c r="L18" s="166">
        <v>46057.5340277778</v>
      </c>
    </row>
    <row r="19" ht="17.5" spans="3:12">
      <c r="C19" s="3">
        <v>46122.3229166667</v>
      </c>
      <c r="E19" s="3">
        <v>46122.9</v>
      </c>
      <c r="G19" s="168"/>
      <c r="H19">
        <v>503.01</v>
      </c>
      <c r="K19">
        <f>(L18-K18)*24</f>
        <v>20.9833333334536</v>
      </c>
      <c r="L19">
        <f>(K19-43)*60</f>
        <v>-1320.99999999278</v>
      </c>
    </row>
    <row r="21" spans="11:12">
      <c r="K21">
        <v>95.8</v>
      </c>
      <c r="L21">
        <f>K21/K19</f>
        <v>4.56552819695556</v>
      </c>
    </row>
    <row r="22" spans="5:11">
      <c r="E22">
        <f>(E19-C19)*24</f>
        <v>13.8500000000931</v>
      </c>
      <c r="F22">
        <f>G5/E22</f>
        <v>1.9494584837414</v>
      </c>
      <c r="K22">
        <v>20.99</v>
      </c>
    </row>
    <row r="23" spans="6:11">
      <c r="F23">
        <f>G3/E22</f>
        <v>5.11191335736635</v>
      </c>
      <c r="K23">
        <f>K21/K22</f>
        <v>4.56407813244402</v>
      </c>
    </row>
    <row r="24" spans="8:8">
      <c r="H24">
        <f>G3/H27</f>
        <v>5.9746835443038</v>
      </c>
    </row>
    <row r="27" spans="8:8">
      <c r="H27">
        <v>11.85</v>
      </c>
    </row>
    <row r="29" spans="7:9">
      <c r="G29">
        <v>0.85</v>
      </c>
      <c r="H29">
        <v>60</v>
      </c>
      <c r="I29">
        <f>H29*G29</f>
        <v>51</v>
      </c>
    </row>
  </sheetData>
  <mergeCells count="1">
    <mergeCell ref="B1:L1"/>
  </mergeCells>
  <dataValidations count="6">
    <dataValidation type="list" allowBlank="1" showInputMessage="1" showErrorMessage="1" sqref="C3 E3">
      <formula1>石兰线!$B$3:$B$15</formula1>
    </dataValidation>
    <dataValidation type="list" allowBlank="1" showInputMessage="1" showErrorMessage="1" sqref="C4 E4">
      <formula1>鄯兰线!$B$3:$B$59</formula1>
    </dataValidation>
    <dataValidation type="list" allowBlank="1" showInputMessage="1" showErrorMessage="1" sqref="C5 E5">
      <formula1>兰成线!$B$3:$B$30</formula1>
    </dataValidation>
    <dataValidation type="list" allowBlank="1" showInputMessage="1" showErrorMessage="1" sqref="C6 E6">
      <formula1>乌兰线!$B$3:$B$69</formula1>
    </dataValidation>
    <dataValidation type="list" allowBlank="1" showInputMessage="1" showErrorMessage="1" sqref="C7 E7">
      <formula1>兰成渝!$B$3:$B$40</formula1>
    </dataValidation>
    <dataValidation type="list" allowBlank="1" showInputMessage="1" showErrorMessage="1" sqref="C8 E8">
      <formula1>兰郑长!$B$3:$B$20</formula1>
    </dataValidation>
  </dataValidation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FFC000"/>
  </sheetPr>
  <dimension ref="A1:Q16"/>
  <sheetViews>
    <sheetView topLeftCell="F2" workbookViewId="0">
      <selection activeCell="L5" sqref="L5"/>
    </sheetView>
  </sheetViews>
  <sheetFormatPr defaultColWidth="9" defaultRowHeight="15"/>
  <cols>
    <col min="1" max="1" width="5.125" customWidth="1"/>
    <col min="2" max="2" width="12.5" customWidth="1"/>
    <col min="3" max="3" width="14.375" customWidth="1"/>
    <col min="4" max="4" width="12" customWidth="1"/>
    <col min="5" max="5" width="9.75" customWidth="1"/>
    <col min="6" max="6" width="20.75" customWidth="1"/>
    <col min="7" max="7" width="12.25" customWidth="1"/>
    <col min="8" max="8" width="9.375" customWidth="1"/>
    <col min="9" max="9" width="9.75" style="112" customWidth="1"/>
    <col min="10" max="10" width="9.5" customWidth="1"/>
    <col min="11" max="11" width="12.5" customWidth="1"/>
    <col min="12" max="12" width="15.625" style="113" customWidth="1"/>
    <col min="13" max="13" width="9.875" customWidth="1"/>
    <col min="14" max="14" width="9.125" customWidth="1"/>
    <col min="15" max="15" width="20" customWidth="1"/>
    <col min="16" max="16" width="20.375" customWidth="1"/>
  </cols>
  <sheetData>
    <row r="1" ht="52.5" customHeight="1" spans="2:16">
      <c r="B1" s="114" t="s">
        <v>35</v>
      </c>
      <c r="C1" s="114"/>
      <c r="D1" s="114"/>
      <c r="E1" s="114"/>
      <c r="F1" s="114"/>
      <c r="G1" s="114"/>
      <c r="H1" s="114"/>
      <c r="I1" s="114"/>
      <c r="J1" s="114"/>
      <c r="K1" s="114"/>
      <c r="L1" s="132"/>
      <c r="M1" s="114"/>
      <c r="N1" s="114"/>
      <c r="O1" s="114"/>
      <c r="P1" s="114"/>
    </row>
    <row r="2" ht="41.25" customHeight="1" spans="1:16">
      <c r="A2" s="115" t="s">
        <v>1</v>
      </c>
      <c r="B2" s="115" t="s">
        <v>2</v>
      </c>
      <c r="C2" s="116" t="s">
        <v>36</v>
      </c>
      <c r="D2" s="116" t="s">
        <v>37</v>
      </c>
      <c r="E2" s="116" t="s">
        <v>38</v>
      </c>
      <c r="F2" s="116" t="s">
        <v>39</v>
      </c>
      <c r="G2" s="116" t="s">
        <v>37</v>
      </c>
      <c r="H2" s="116" t="s">
        <v>40</v>
      </c>
      <c r="I2" s="133" t="s">
        <v>41</v>
      </c>
      <c r="J2" s="116" t="s">
        <v>42</v>
      </c>
      <c r="K2" s="116" t="s">
        <v>43</v>
      </c>
      <c r="L2" s="134" t="s">
        <v>44</v>
      </c>
      <c r="M2" s="116" t="s">
        <v>45</v>
      </c>
      <c r="N2" s="116" t="s">
        <v>46</v>
      </c>
      <c r="O2" s="115" t="s">
        <v>10</v>
      </c>
      <c r="P2" s="116" t="s">
        <v>47</v>
      </c>
    </row>
    <row r="3" ht="39.95" customHeight="1" spans="1:16">
      <c r="A3" s="117">
        <v>1</v>
      </c>
      <c r="B3" s="118" t="s">
        <v>48</v>
      </c>
      <c r="C3" s="119" t="s">
        <v>49</v>
      </c>
      <c r="D3" s="120">
        <f>VLOOKUP(C3,西一线!B3:D71,3,)</f>
        <v>1609.35</v>
      </c>
      <c r="E3" s="121">
        <v>8.94</v>
      </c>
      <c r="F3" s="119" t="s">
        <v>50</v>
      </c>
      <c r="G3" s="120">
        <f>VLOOKUP(F3,西一线!B3:D71,3,)</f>
        <v>1843.112</v>
      </c>
      <c r="H3" s="121">
        <v>8.19</v>
      </c>
      <c r="I3" s="135">
        <f t="shared" ref="I3:I8" si="0">2*(E3+H3*H3/(E3+H3))/3</f>
        <v>8.57047285464098</v>
      </c>
      <c r="J3" s="136">
        <f t="shared" ref="J3:J8" si="1">IF(AND(I3&gt;=2,I3&lt;2.5),(0.9423-0.9532)/0.5*(I3-2)+0.9532,IF(AND(I3&gt;=2.5,I3&lt;3),(0.9315-0.9423)/0.5*(I3-2.5)+0.9423,IF(AND(I3&gt;=3,I3&lt;3.5),(0.9209-0.9315)/0.5*(I3-3)+0.9315,IF(AND(I3&gt;=3.5,I3&lt;4),(0.9105-0.9209)/0.5*(I3-3.5)+0.9105,IF(AND(I3&gt;=4,I3&lt;4.5),(0.9003-0.9105)/0.5*(I3-4)+0.9105,IF(AND(I3&gt;=4.5,I3&lt;5),(0.8903-0.9003)/0.5*(I3-4.5)+0.9003,IF(AND(I3&gt;=5,I3&lt;5.5),(0.8806-0.8903)/0.5*(I3-5)+0.8903,IF(AND(I3&gt;=5.5,I3&lt;6),(0.8713-0.8806)/0.5*(I3-5.5)+0.8806,IF(AND(I3&gt;=6,I3&lt;6.5),(0.8623-0.8713)/0.5*(I3-6)+0.8713,IF(AND(I3&gt;=6.5,I3&lt;7),(0.8537-0.8623)/0.5*(I3-6.5)+0.8623,IF(AND(I3&gt;=7,I3&lt;7.5),(0.8455-0.8537)/0.5*(I3-7)+0.8537,IF(AND(I3&gt;=7.5,I3&lt;8),(0.8377-0.8455)/0.5*(I3-7.5)+0.8455,IF(AND(I3&gt;=8,I3&lt;8.5),(0.8305-0.8377)/0.5*(I3-8)+0.8377,IF(AND(I3&gt;=8.5,I3&lt;9),(0.8228-0.8305)/0.5*(I3-8.5)+0.8305,IF(AND(I3&gt;=9,I3&lt;9.5),(0.8177-0.8228)/0.5*(I3-9)+0.8228,IF(AND(I3&gt;=9.5,I3&lt;9.9),(0.8132-0.8177)/0.5*(I3-9.5)+0.8177,IF(AND(I3&gt;=9.9,I3&lt;10),(0.8128-0.8132)/0.1*(I3-9.9)+0.8132,IF(AND(I3&gt;=10,I3&lt;10.5),(0.8063-0.8128)/0.5*(I3-10)+0.8128,IF(AND(I3&gt;=10.5,I3&lt;11),(0.8003-0.8063)/0.5*(I3-10.5)+0.8063,IF(I3=11,0.8003,"flase"))))))))))))))))))))</f>
        <v>0.829414718038529</v>
      </c>
      <c r="K3" s="120" t="str">
        <f>西一线!J3</f>
        <v>986.8</v>
      </c>
      <c r="L3" s="137">
        <f t="shared" ref="L3:L8" si="2">G3-D3</f>
        <v>233.762</v>
      </c>
      <c r="M3" s="138">
        <v>3200</v>
      </c>
      <c r="N3" s="137">
        <f t="shared" ref="N3:N8" si="3">M3*J3/(24*I3*3.14*(K3/2/1000)*(K3/2/1000))</f>
        <v>16.8802063853349</v>
      </c>
      <c r="O3" s="139">
        <v>42952.5930555556</v>
      </c>
      <c r="P3" s="140">
        <f t="shared" ref="P3:P8" si="4">(L3/N3/24)+O3</f>
        <v>42953.1700676555</v>
      </c>
    </row>
    <row r="4" ht="39.95" customHeight="1" spans="1:16">
      <c r="A4" s="117">
        <v>2</v>
      </c>
      <c r="B4" s="118" t="s">
        <v>51</v>
      </c>
      <c r="C4" s="119" t="s">
        <v>52</v>
      </c>
      <c r="D4" s="120">
        <f>VLOOKUP(C4,西二线!B3:D83,3,)</f>
        <v>1909.1</v>
      </c>
      <c r="E4" s="121">
        <v>11.32</v>
      </c>
      <c r="F4" s="119" t="s">
        <v>53</v>
      </c>
      <c r="G4" s="120">
        <f>VLOOKUP(F4,西二线!B3:D88,3,)</f>
        <v>2055.421</v>
      </c>
      <c r="H4" s="121">
        <v>10.26</v>
      </c>
      <c r="I4" s="135">
        <f t="shared" si="0"/>
        <v>10.7986777880754</v>
      </c>
      <c r="J4" s="136">
        <f t="shared" si="1"/>
        <v>0.802715866543095</v>
      </c>
      <c r="K4" s="120" t="str">
        <f>西二线!I3</f>
        <v>1182.2</v>
      </c>
      <c r="L4" s="137">
        <f t="shared" si="2"/>
        <v>146.321</v>
      </c>
      <c r="M4" s="138">
        <v>5800</v>
      </c>
      <c r="N4" s="137">
        <f t="shared" si="3"/>
        <v>16.3740627197044</v>
      </c>
      <c r="O4" s="139">
        <v>43719.6826388889</v>
      </c>
      <c r="P4" s="140">
        <f t="shared" si="4"/>
        <v>43720.0549782672</v>
      </c>
    </row>
    <row r="5" ht="39.95" customHeight="1" spans="1:16">
      <c r="A5" s="117">
        <v>3</v>
      </c>
      <c r="B5" s="118" t="s">
        <v>54</v>
      </c>
      <c r="C5" s="119" t="s">
        <v>53</v>
      </c>
      <c r="D5" s="120">
        <f>VLOOKUP(C5,西三线!B3:D83,3,)</f>
        <v>1801</v>
      </c>
      <c r="E5" s="121">
        <v>10.92</v>
      </c>
      <c r="F5" s="119" t="s">
        <v>50</v>
      </c>
      <c r="G5" s="120">
        <f>VLOOKUP(F5,西三线!B3:D83,3,)</f>
        <v>2004</v>
      </c>
      <c r="H5" s="121">
        <v>9.76</v>
      </c>
      <c r="I5" s="135">
        <f t="shared" si="0"/>
        <v>10.3508446163765</v>
      </c>
      <c r="J5" s="136">
        <f t="shared" si="1"/>
        <v>0.808239019987105</v>
      </c>
      <c r="K5" s="120" t="str">
        <f>西三线!I3</f>
        <v>1182.2</v>
      </c>
      <c r="L5" s="137">
        <f t="shared" si="2"/>
        <v>203</v>
      </c>
      <c r="M5" s="138">
        <v>5538</v>
      </c>
      <c r="N5" s="137">
        <f t="shared" si="3"/>
        <v>16.423063313935</v>
      </c>
      <c r="O5" s="139">
        <v>43718.6826388889</v>
      </c>
      <c r="P5" s="140">
        <f t="shared" si="4"/>
        <v>43719.1976666381</v>
      </c>
    </row>
    <row r="6" ht="39.95" customHeight="1" spans="1:16">
      <c r="A6" s="117">
        <v>4</v>
      </c>
      <c r="B6" s="118" t="s">
        <v>55</v>
      </c>
      <c r="C6" s="119" t="s">
        <v>56</v>
      </c>
      <c r="D6" s="120">
        <f>VLOOKUP(C6,[1]西四线!B2:C49,2,)</f>
        <v>55.2</v>
      </c>
      <c r="E6" s="121">
        <v>10.5</v>
      </c>
      <c r="F6" s="119" t="s">
        <v>57</v>
      </c>
      <c r="G6" s="120">
        <f>VLOOKUP(F6,[1]西四线!B2:C49,2,)</f>
        <v>435.7</v>
      </c>
      <c r="H6" s="121">
        <v>9.8</v>
      </c>
      <c r="I6" s="135">
        <f t="shared" si="0"/>
        <v>10.1540229885057</v>
      </c>
      <c r="J6" s="136">
        <f t="shared" si="1"/>
        <v>0.810797701149425</v>
      </c>
      <c r="K6" s="141">
        <v>1182.2</v>
      </c>
      <c r="L6" s="120">
        <f t="shared" si="2"/>
        <v>380.5</v>
      </c>
      <c r="M6" s="138">
        <v>5000</v>
      </c>
      <c r="N6" s="137">
        <f t="shared" si="3"/>
        <v>15.1628752610315</v>
      </c>
      <c r="O6" s="139">
        <v>45842.5</v>
      </c>
      <c r="P6" s="140">
        <f t="shared" si="4"/>
        <v>45843.5455910501</v>
      </c>
    </row>
    <row r="7" ht="39.95" customHeight="1" spans="1:16">
      <c r="A7" s="117">
        <v>5</v>
      </c>
      <c r="B7" s="118" t="s">
        <v>58</v>
      </c>
      <c r="C7" s="119" t="s">
        <v>59</v>
      </c>
      <c r="D7" s="120">
        <f>VLOOKUP(C7,涩宁兰一线!B3:D43,3,)</f>
        <v>613.803</v>
      </c>
      <c r="E7" s="121">
        <v>5.3</v>
      </c>
      <c r="F7" s="119" t="s">
        <v>60</v>
      </c>
      <c r="G7" s="120">
        <f>VLOOKUP(F7,涩宁兰一线!B3:D43,3,)</f>
        <v>707.747</v>
      </c>
      <c r="H7" s="121">
        <v>5.2</v>
      </c>
      <c r="I7" s="135">
        <f t="shared" si="0"/>
        <v>5.25015873015873</v>
      </c>
      <c r="J7" s="136">
        <f t="shared" si="1"/>
        <v>0.885446920634921</v>
      </c>
      <c r="K7" s="120">
        <f>涩宁兰一线!J3</f>
        <v>645.8</v>
      </c>
      <c r="L7" s="137">
        <f t="shared" si="2"/>
        <v>93.944</v>
      </c>
      <c r="M7" s="138">
        <v>500</v>
      </c>
      <c r="N7" s="137">
        <f t="shared" si="3"/>
        <v>10.7320607560683</v>
      </c>
      <c r="O7" s="139">
        <v>42607.35625</v>
      </c>
      <c r="P7" s="140">
        <f t="shared" si="4"/>
        <v>42607.7209826848</v>
      </c>
    </row>
    <row r="8" ht="39.95" customHeight="1" spans="1:16">
      <c r="A8" s="117">
        <v>6</v>
      </c>
      <c r="B8" s="118" t="s">
        <v>61</v>
      </c>
      <c r="C8" s="119" t="s">
        <v>60</v>
      </c>
      <c r="D8" s="120">
        <f>VLOOKUP(C8,涩宁兰复线!B3:D44,3,)</f>
        <v>729.8</v>
      </c>
      <c r="E8" s="121">
        <v>5.5</v>
      </c>
      <c r="F8" s="119" t="s">
        <v>62</v>
      </c>
      <c r="G8" s="120">
        <f>VLOOKUP(F8,涩宁兰复线!B3:D44,3,)</f>
        <v>921.4</v>
      </c>
      <c r="H8" s="121">
        <v>5.2</v>
      </c>
      <c r="I8" s="135">
        <f t="shared" si="0"/>
        <v>5.35140186915888</v>
      </c>
      <c r="J8" s="136">
        <f t="shared" si="1"/>
        <v>0.883482803738318</v>
      </c>
      <c r="K8" s="120">
        <f>涩宁兰复线!J3</f>
        <v>645.8</v>
      </c>
      <c r="L8" s="137">
        <f t="shared" si="2"/>
        <v>191.6</v>
      </c>
      <c r="M8" s="138">
        <v>430</v>
      </c>
      <c r="N8" s="137">
        <f t="shared" si="3"/>
        <v>9.03487213219605</v>
      </c>
      <c r="O8" s="139">
        <v>42623.625</v>
      </c>
      <c r="P8" s="140">
        <f t="shared" si="4"/>
        <v>42624.508613317</v>
      </c>
    </row>
    <row r="9" ht="39.95" customHeight="1" spans="1:16">
      <c r="A9" s="117"/>
      <c r="B9" s="118"/>
      <c r="C9" s="119"/>
      <c r="D9" s="120"/>
      <c r="E9" s="121"/>
      <c r="F9" s="119"/>
      <c r="G9" s="120"/>
      <c r="H9" s="121"/>
      <c r="I9" s="135"/>
      <c r="J9" s="136"/>
      <c r="K9" s="120"/>
      <c r="L9" s="137"/>
      <c r="M9" s="138"/>
      <c r="N9" s="137"/>
      <c r="O9" s="139"/>
      <c r="P9" s="140"/>
    </row>
    <row r="10" s="111" customFormat="1" ht="39.95" customHeight="1" spans="1:16">
      <c r="A10" s="122"/>
      <c r="B10" s="122"/>
      <c r="C10" s="122"/>
      <c r="D10" s="123"/>
      <c r="E10" s="124"/>
      <c r="F10" s="122"/>
      <c r="G10" s="123"/>
      <c r="H10" s="124"/>
      <c r="I10" s="142"/>
      <c r="J10" s="143"/>
      <c r="K10" s="123"/>
      <c r="L10" s="124"/>
      <c r="M10" s="144"/>
      <c r="N10" s="124"/>
      <c r="O10" s="145"/>
      <c r="P10" s="145"/>
    </row>
    <row r="11" customFormat="1" ht="52.5" customHeight="1" spans="2:16">
      <c r="B11" s="114" t="s">
        <v>63</v>
      </c>
      <c r="C11" s="114"/>
      <c r="D11" s="114"/>
      <c r="E11" s="114"/>
      <c r="F11" s="114"/>
      <c r="G11" s="114"/>
      <c r="H11" s="114"/>
      <c r="I11" s="114"/>
      <c r="J11" s="114"/>
      <c r="K11" s="114"/>
      <c r="L11" s="132"/>
      <c r="M11" s="114"/>
      <c r="N11" s="114"/>
      <c r="O11" s="114"/>
      <c r="P11" s="114"/>
    </row>
    <row r="12" ht="41.25" customHeight="1" spans="1:16">
      <c r="A12" s="115" t="s">
        <v>1</v>
      </c>
      <c r="B12" s="115" t="s">
        <v>2</v>
      </c>
      <c r="C12" s="116" t="s">
        <v>36</v>
      </c>
      <c r="D12" s="116" t="s">
        <v>37</v>
      </c>
      <c r="E12" s="116" t="s">
        <v>38</v>
      </c>
      <c r="F12" s="116" t="s">
        <v>64</v>
      </c>
      <c r="G12" s="116" t="s">
        <v>65</v>
      </c>
      <c r="H12" s="116" t="s">
        <v>40</v>
      </c>
      <c r="I12" s="133" t="s">
        <v>41</v>
      </c>
      <c r="J12" s="116" t="s">
        <v>42</v>
      </c>
      <c r="K12" s="116" t="s">
        <v>43</v>
      </c>
      <c r="L12" s="134" t="s">
        <v>66</v>
      </c>
      <c r="M12" s="116" t="s">
        <v>45</v>
      </c>
      <c r="N12" s="116" t="s">
        <v>46</v>
      </c>
      <c r="O12" s="115" t="s">
        <v>10</v>
      </c>
      <c r="P12" s="116" t="s">
        <v>47</v>
      </c>
    </row>
    <row r="13" ht="17.5" spans="2:16">
      <c r="B13" s="125"/>
      <c r="C13" s="125" t="s">
        <v>50</v>
      </c>
      <c r="D13" s="126">
        <v>2258.1</v>
      </c>
      <c r="E13" s="127">
        <v>10.71</v>
      </c>
      <c r="F13" s="126" t="s">
        <v>67</v>
      </c>
      <c r="G13" s="128">
        <f>D13+150</f>
        <v>2408.1</v>
      </c>
      <c r="H13" s="127">
        <v>9.65</v>
      </c>
      <c r="I13" s="146">
        <f>2*(E13+H13*H13/(E13+H13))/3</f>
        <v>10.1891977734119</v>
      </c>
      <c r="J13" s="147">
        <f>IF(AND(I13&gt;=2,I13&lt;2.5),(0.9423-0.9532)/0.5*(I13-2)+0.9532,IF(AND(I13&gt;=2.5,I13&lt;3),(0.9315-0.9423)/0.5*(I13-2.5)+0.9423,IF(AND(I13&gt;=3,I13&lt;3.5),(0.9209-0.9315)/0.5*(I13-3)+0.9315,IF(AND(I13&gt;=3.5,I13&lt;4),(0.9105-0.9209)/0.5*(I13-3.5)+0.9105,IF(AND(I13&gt;=4,I13&lt;4.5),(0.9003-0.9105)/0.5*(I13-4)+0.9105,IF(AND(I13&gt;=4.5,I13&lt;5),(0.8903-0.9003)/0.5*(I13-4.5)+0.9003,IF(AND(I13&gt;=5,I13&lt;5.5),(0.8806-0.8903)/0.5*(I13-5)+0.8903,IF(AND(I13&gt;=5.5,I13&lt;6),(0.8713-0.8806)/0.5*(I13-5.5)+0.8806,IF(AND(I13&gt;=6,I13&lt;6.5),(0.8623-0.8713)/0.5*(I13-6)+0.8713,IF(AND(I13&gt;=6.5,I13&lt;7),(0.8537-0.8623)/0.5*(I13-6.5)+0.8623,IF(AND(I13&gt;=7,I13&lt;7.5),(0.8455-0.8537)/0.5*(I13-7)+0.8537,IF(AND(I13&gt;=7.5,I13&lt;8),(0.8377-0.8455)/0.5*(I13-7.5)+0.8455,IF(AND(I13&gt;=8,I13&lt;8.5),(0.8305-0.8377)/0.5*(I13-8)+0.8377,IF(AND(I13&gt;=8.5,I13&lt;9),(0.8228-0.8305)/0.5*(I13-8.5)+0.8305,IF(AND(I13&gt;=9,I13&lt;9.5),(0.8177-0.8228)/0.5*(I13-9)+0.8228,IF(AND(I13&gt;=9.5,I13&lt;9.9),(0.8132-0.8177)/0.5*(I13-9.5)+0.8177,IF(AND(I13&gt;=9.9,I13&lt;10),(0.8128-0.8132)/0.1*(I13-9.9)+0.8132,IF(AND(I13&gt;=10,I13&lt;10.5),(0.8063-0.8128)/0.5*(I13-10)+0.8128,IF(AND(I13&gt;=10.5,I13&lt;11),(0.8003-0.8063)/0.5*(I13-10.5)+0.8063,IF(I13=11,0.8003,"flase"))))))))))))))))))))</f>
        <v>0.810340428945645</v>
      </c>
      <c r="K13" s="148" t="s">
        <v>68</v>
      </c>
      <c r="L13" s="149">
        <f>G13-D13</f>
        <v>150</v>
      </c>
      <c r="M13" s="150">
        <v>6995</v>
      </c>
      <c r="N13" s="149">
        <f>M13*J13/(24*I13*3.14*(K13/2/1000)*(K13/2/1000))</f>
        <v>21.1277099122848</v>
      </c>
      <c r="O13" s="151">
        <v>43706.4965277778</v>
      </c>
      <c r="P13" s="152">
        <f>(L13/N13/24)+O13</f>
        <v>43706.7923478182</v>
      </c>
    </row>
    <row r="14" ht="39.95" customHeight="1" spans="1:17">
      <c r="A14" s="117">
        <v>1</v>
      </c>
      <c r="B14" s="129" t="s">
        <v>69</v>
      </c>
      <c r="C14" s="119" t="s">
        <v>70</v>
      </c>
      <c r="D14" s="120">
        <f>VLOOKUP(C14,西二线!B10:D90,3,)</f>
        <v>2108.25</v>
      </c>
      <c r="E14" s="121">
        <v>10.39</v>
      </c>
      <c r="F14" s="130" t="s">
        <v>71</v>
      </c>
      <c r="G14" s="131">
        <v>2156.09</v>
      </c>
      <c r="H14" s="121">
        <v>10.64</v>
      </c>
      <c r="I14" s="135">
        <f>2*(E14+H14*H14/(E14+H14))/3</f>
        <v>10.5154953241401</v>
      </c>
      <c r="J14" s="136">
        <f>IF(AND(I14&gt;=2,I14&lt;2.5),(0.9423-0.9532)/0.5*(I14-2)+0.9532,IF(AND(I14&gt;=2.5,I14&lt;3),(0.9315-0.9423)/0.5*(I14-2.5)+0.9423,IF(AND(I14&gt;=3,I14&lt;3.5),(0.9209-0.9315)/0.5*(I14-3)+0.9315,IF(AND(I14&gt;=3.5,I14&lt;4),(0.9105-0.9209)/0.5*(I14-3.5)+0.9105,IF(AND(I14&gt;=4,I14&lt;4.5),(0.9003-0.9105)/0.5*(I14-4)+0.9105,IF(AND(I14&gt;=4.5,I14&lt;5),(0.8903-0.9003)/0.5*(I14-4.5)+0.9003,IF(AND(I14&gt;=5,I14&lt;5.5),(0.8806-0.8903)/0.5*(I14-5)+0.8903,IF(AND(I14&gt;=5.5,I14&lt;6),(0.8713-0.8806)/0.5*(I14-5.5)+0.8806,IF(AND(I14&gt;=6,I14&lt;6.5),(0.8623-0.8713)/0.5*(I14-6)+0.8713,IF(AND(I14&gt;=6.5,I14&lt;7),(0.8537-0.8623)/0.5*(I14-6.5)+0.8623,IF(AND(I14&gt;=7,I14&lt;7.5),(0.8455-0.8537)/0.5*(I14-7)+0.8537,IF(AND(I14&gt;=7.5,I14&lt;8),(0.8377-0.8455)/0.5*(I14-7.5)+0.8455,IF(AND(I14&gt;=8,I14&lt;8.5),(0.8305-0.8377)/0.5*(I14-8)+0.8377,IF(AND(I14&gt;=8.5,I14&lt;9),(0.8228-0.8305)/0.5*(I14-8.5)+0.8305,IF(AND(I14&gt;=9,I14&lt;9.5),(0.8177-0.8228)/0.5*(I14-9)+0.8228,IF(AND(I14&gt;=9.5,I14&lt;9.9),(0.8132-0.8177)/0.5*(I14-9.5)+0.8177,IF(AND(I14&gt;=9.9,I14&lt;10),(0.8128-0.8132)/0.1*(I14-9.9)+0.8132,IF(AND(I14&gt;=10,I14&lt;10.5),(0.8063-0.8128)/0.5*(I14-10)+0.8128,IF(AND(I14&gt;=10.5,I14&lt;11),(0.8003-0.8063)/0.5*(I14-10.5)+0.8063,IF(I14=11,0.8003,"flase"))))))))))))))))))))</f>
        <v>0.806114056110319</v>
      </c>
      <c r="K14" s="153">
        <v>157.1</v>
      </c>
      <c r="L14" s="154">
        <f>G14-D14</f>
        <v>47.8400000000001</v>
      </c>
      <c r="M14" s="155">
        <v>12.8</v>
      </c>
      <c r="N14" s="137">
        <f>M14*J14/(24*I14*3.14*(K14/2/1000)*(K14/2/1000))</f>
        <v>2.1102964116473</v>
      </c>
      <c r="O14" s="139">
        <v>44431.4722222222</v>
      </c>
      <c r="P14" s="140">
        <f>(L14/N14/24)+O14</f>
        <v>44432.4167972697</v>
      </c>
      <c r="Q14" s="157" t="s">
        <v>72</v>
      </c>
    </row>
    <row r="15" spans="4:16">
      <c r="D15" s="73"/>
      <c r="E15" s="73"/>
      <c r="F15" s="73"/>
      <c r="G15" s="73"/>
      <c r="H15" s="73"/>
      <c r="I15" s="106"/>
      <c r="J15" s="73"/>
      <c r="K15" s="73" t="s">
        <v>73</v>
      </c>
      <c r="L15" s="156" t="s">
        <v>74</v>
      </c>
      <c r="M15" s="73" t="s">
        <v>75</v>
      </c>
      <c r="N15" s="73"/>
      <c r="O15" s="73"/>
      <c r="P15" s="73"/>
    </row>
    <row r="16" spans="4:16">
      <c r="D16" s="73"/>
      <c r="E16" s="73"/>
      <c r="F16" s="73"/>
      <c r="G16" s="73"/>
      <c r="H16" s="73"/>
      <c r="I16" s="106"/>
      <c r="J16" s="73"/>
      <c r="K16" s="73"/>
      <c r="L16" s="156"/>
      <c r="M16" s="73"/>
      <c r="N16" s="73"/>
      <c r="O16" s="73"/>
      <c r="P16" s="73"/>
    </row>
  </sheetData>
  <mergeCells count="2">
    <mergeCell ref="B1:P1"/>
    <mergeCell ref="B11:P11"/>
  </mergeCells>
  <dataValidations count="7">
    <dataValidation type="list" allowBlank="1" showInputMessage="1" showErrorMessage="1" sqref="C3 F3">
      <formula1>西一线!$B$3:$B$71</formula1>
    </dataValidation>
    <dataValidation type="list" allowBlank="1" showInputMessage="1" showErrorMessage="1" sqref="C4 F4">
      <formula1>西二线!$B$3:$B$83</formula1>
    </dataValidation>
    <dataValidation type="list" allowBlank="1" showInputMessage="1" showErrorMessage="1" sqref="C5 F5">
      <formula1>西三线!$B$3:$B$83</formula1>
    </dataValidation>
    <dataValidation type="list" allowBlank="1" showInputMessage="1" showErrorMessage="1" sqref="C6 F6">
      <formula1>西四线!$B$2:$B$49</formula1>
    </dataValidation>
    <dataValidation type="list" allowBlank="1" showInputMessage="1" showErrorMessage="1" sqref="C7 F7">
      <formula1>涩宁兰一线!$B$3:$B$43</formula1>
    </dataValidation>
    <dataValidation type="list" allowBlank="1" showInputMessage="1" showErrorMessage="1" sqref="C8 F8">
      <formula1>涩宁兰复线!$B$3:$B$43</formula1>
    </dataValidation>
    <dataValidation type="list" allowBlank="1" showInputMessage="1" showErrorMessage="1" sqref="C9:C10 F9:F10">
      <formula1>#REF!</formula1>
    </dataValidation>
  </dataValidations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F46"/>
  <sheetViews>
    <sheetView workbookViewId="0">
      <selection activeCell="C12" sqref="C12"/>
    </sheetView>
  </sheetViews>
  <sheetFormatPr defaultColWidth="9" defaultRowHeight="15" outlineLevelCol="5"/>
  <cols>
    <col min="1" max="1" width="9" style="73"/>
    <col min="2" max="2" width="21.625" style="73" customWidth="1"/>
    <col min="3" max="3" width="14.625" style="106" customWidth="1"/>
    <col min="4" max="5" width="18.75" style="73" customWidth="1"/>
    <col min="6" max="6" width="20.125" style="73" customWidth="1"/>
    <col min="7" max="7" width="13.375" customWidth="1"/>
  </cols>
  <sheetData>
    <row r="1" s="72" customFormat="1" ht="31.5" customHeight="1" spans="1:6">
      <c r="A1" s="75" t="s">
        <v>76</v>
      </c>
      <c r="B1" s="76"/>
      <c r="C1" s="76"/>
      <c r="D1" s="76"/>
      <c r="E1" s="76"/>
      <c r="F1" s="76"/>
    </row>
    <row r="2" ht="35" spans="1:6">
      <c r="A2" s="77" t="s">
        <v>1</v>
      </c>
      <c r="B2" s="77" t="s">
        <v>77</v>
      </c>
      <c r="C2" s="107" t="s">
        <v>78</v>
      </c>
      <c r="D2" s="77" t="s">
        <v>79</v>
      </c>
      <c r="E2" s="77" t="s">
        <v>80</v>
      </c>
      <c r="F2" s="77" t="s">
        <v>81</v>
      </c>
    </row>
    <row r="3" spans="1:6">
      <c r="A3" s="78">
        <v>1</v>
      </c>
      <c r="B3" s="78" t="s">
        <v>13</v>
      </c>
      <c r="C3" s="108">
        <v>59</v>
      </c>
      <c r="D3" s="78">
        <v>0</v>
      </c>
      <c r="E3" s="78">
        <v>154</v>
      </c>
      <c r="F3" s="78">
        <v>0</v>
      </c>
    </row>
    <row r="4" spans="1:6">
      <c r="A4" s="79">
        <v>2</v>
      </c>
      <c r="B4" s="79" t="s">
        <v>82</v>
      </c>
      <c r="C4" s="109">
        <v>86.7</v>
      </c>
      <c r="D4" s="80">
        <f t="shared" ref="D4:D15" si="0">C4-C3</f>
        <v>27.7</v>
      </c>
      <c r="E4" s="78">
        <v>154</v>
      </c>
      <c r="F4" s="81">
        <f>D4*E4</f>
        <v>4265.8</v>
      </c>
    </row>
    <row r="5" spans="1:6">
      <c r="A5" s="79">
        <v>3</v>
      </c>
      <c r="B5" s="79" t="s">
        <v>83</v>
      </c>
      <c r="C5" s="109">
        <v>105.2</v>
      </c>
      <c r="D5" s="80">
        <f t="shared" si="0"/>
        <v>18.5</v>
      </c>
      <c r="E5" s="78">
        <v>154</v>
      </c>
      <c r="F5" s="81">
        <f t="shared" ref="F5:F15" si="1">D5*E5</f>
        <v>2849</v>
      </c>
    </row>
    <row r="6" spans="1:6">
      <c r="A6" s="79">
        <v>4</v>
      </c>
      <c r="B6" s="82" t="s">
        <v>14</v>
      </c>
      <c r="C6" s="109">
        <v>129.8</v>
      </c>
      <c r="D6" s="80">
        <f t="shared" si="0"/>
        <v>24.6</v>
      </c>
      <c r="E6" s="78">
        <v>154</v>
      </c>
      <c r="F6" s="81">
        <f t="shared" si="1"/>
        <v>3788.4</v>
      </c>
    </row>
    <row r="7" spans="1:6">
      <c r="A7" s="79">
        <v>5</v>
      </c>
      <c r="B7" s="79" t="s">
        <v>84</v>
      </c>
      <c r="C7" s="109">
        <v>158.6</v>
      </c>
      <c r="D7" s="80">
        <f t="shared" si="0"/>
        <v>28.8</v>
      </c>
      <c r="E7" s="78">
        <v>154</v>
      </c>
      <c r="F7" s="81">
        <f t="shared" si="1"/>
        <v>4435.2</v>
      </c>
    </row>
    <row r="8" spans="1:6">
      <c r="A8" s="79">
        <v>6</v>
      </c>
      <c r="B8" s="79" t="s">
        <v>85</v>
      </c>
      <c r="C8" s="109">
        <v>187.4</v>
      </c>
      <c r="D8" s="80">
        <f t="shared" si="0"/>
        <v>28.8</v>
      </c>
      <c r="E8" s="78">
        <v>154</v>
      </c>
      <c r="F8" s="81">
        <f t="shared" si="1"/>
        <v>4435.2</v>
      </c>
    </row>
    <row r="9" spans="1:6">
      <c r="A9" s="79">
        <v>7</v>
      </c>
      <c r="B9" s="79" t="s">
        <v>86</v>
      </c>
      <c r="C9" s="109">
        <v>218.1</v>
      </c>
      <c r="D9" s="80">
        <f t="shared" si="0"/>
        <v>30.7</v>
      </c>
      <c r="E9" s="78">
        <v>154</v>
      </c>
      <c r="F9" s="81">
        <f t="shared" si="1"/>
        <v>4727.8</v>
      </c>
    </row>
    <row r="10" spans="1:6">
      <c r="A10" s="79">
        <v>8</v>
      </c>
      <c r="B10" s="79" t="s">
        <v>87</v>
      </c>
      <c r="C10" s="109">
        <v>248</v>
      </c>
      <c r="D10" s="80">
        <f t="shared" si="0"/>
        <v>29.9</v>
      </c>
      <c r="E10" s="78">
        <v>154</v>
      </c>
      <c r="F10" s="81">
        <f t="shared" si="1"/>
        <v>4604.6</v>
      </c>
    </row>
    <row r="11" spans="1:6">
      <c r="A11" s="79">
        <v>9</v>
      </c>
      <c r="B11" s="79" t="s">
        <v>88</v>
      </c>
      <c r="C11" s="109">
        <v>260.2</v>
      </c>
      <c r="D11" s="80">
        <f t="shared" si="0"/>
        <v>12.2</v>
      </c>
      <c r="E11" s="78">
        <v>154</v>
      </c>
      <c r="F11" s="81">
        <f t="shared" si="1"/>
        <v>1878.8</v>
      </c>
    </row>
    <row r="12" spans="1:6">
      <c r="A12" s="79">
        <v>10</v>
      </c>
      <c r="B12" s="79" t="s">
        <v>89</v>
      </c>
      <c r="C12" s="109">
        <v>279.9</v>
      </c>
      <c r="D12" s="80">
        <f t="shared" si="0"/>
        <v>19.7</v>
      </c>
      <c r="E12" s="78">
        <v>154</v>
      </c>
      <c r="F12" s="81">
        <f t="shared" si="1"/>
        <v>3033.8</v>
      </c>
    </row>
    <row r="13" spans="1:6">
      <c r="A13" s="79">
        <v>11</v>
      </c>
      <c r="B13" s="79" t="s">
        <v>90</v>
      </c>
      <c r="C13" s="109">
        <v>298.5</v>
      </c>
      <c r="D13" s="80">
        <f t="shared" si="0"/>
        <v>18.6</v>
      </c>
      <c r="E13" s="78">
        <v>154</v>
      </c>
      <c r="F13" s="81">
        <f t="shared" si="1"/>
        <v>2864.4</v>
      </c>
    </row>
    <row r="14" spans="1:6">
      <c r="A14" s="79">
        <v>12</v>
      </c>
      <c r="B14" s="79" t="s">
        <v>91</v>
      </c>
      <c r="C14" s="109">
        <v>321.8</v>
      </c>
      <c r="D14" s="80">
        <f t="shared" si="0"/>
        <v>23.3</v>
      </c>
      <c r="E14" s="78">
        <v>154</v>
      </c>
      <c r="F14" s="81">
        <f t="shared" si="1"/>
        <v>3588.2</v>
      </c>
    </row>
    <row r="15" spans="1:6">
      <c r="A15" s="79">
        <v>13</v>
      </c>
      <c r="B15" s="79" t="s">
        <v>27</v>
      </c>
      <c r="C15" s="109">
        <v>324.3</v>
      </c>
      <c r="D15" s="80">
        <f t="shared" si="0"/>
        <v>2.5</v>
      </c>
      <c r="E15" s="78">
        <v>154</v>
      </c>
      <c r="F15" s="81">
        <f t="shared" si="1"/>
        <v>385</v>
      </c>
    </row>
    <row r="16" spans="1:6">
      <c r="A16" s="101"/>
      <c r="B16" s="101"/>
      <c r="C16" s="110"/>
      <c r="D16" s="101"/>
      <c r="E16" s="101"/>
      <c r="F16" s="101"/>
    </row>
    <row r="17" spans="1:6">
      <c r="A17" s="101"/>
      <c r="B17" s="101"/>
      <c r="C17" s="110"/>
      <c r="D17" s="101"/>
      <c r="E17" s="101"/>
      <c r="F17" s="101"/>
    </row>
    <row r="18" spans="1:6">
      <c r="A18" s="101"/>
      <c r="B18" s="101"/>
      <c r="C18" s="110"/>
      <c r="D18" s="101"/>
      <c r="E18" s="101"/>
      <c r="F18" s="101"/>
    </row>
    <row r="19" spans="1:6">
      <c r="A19" s="101"/>
      <c r="B19" s="101"/>
      <c r="C19" s="110"/>
      <c r="D19" s="101"/>
      <c r="E19" s="101"/>
      <c r="F19" s="101"/>
    </row>
    <row r="20" spans="1:6">
      <c r="A20" s="101"/>
      <c r="B20" s="101"/>
      <c r="C20" s="110"/>
      <c r="D20" s="101"/>
      <c r="E20" s="101"/>
      <c r="F20" s="101"/>
    </row>
    <row r="21" spans="1:6">
      <c r="A21" s="101"/>
      <c r="B21" s="101"/>
      <c r="C21" s="110"/>
      <c r="D21" s="101"/>
      <c r="E21" s="101"/>
      <c r="F21" s="101"/>
    </row>
    <row r="22" spans="1:6">
      <c r="A22" s="101"/>
      <c r="B22" s="101"/>
      <c r="C22" s="110"/>
      <c r="D22" s="101"/>
      <c r="E22" s="101"/>
      <c r="F22" s="101"/>
    </row>
    <row r="23" spans="1:6">
      <c r="A23" s="101"/>
      <c r="B23" s="101"/>
      <c r="C23" s="110"/>
      <c r="D23" s="101"/>
      <c r="E23" s="101"/>
      <c r="F23" s="101"/>
    </row>
    <row r="24" spans="1:6">
      <c r="A24" s="101"/>
      <c r="B24" s="101"/>
      <c r="C24" s="110"/>
      <c r="D24" s="101"/>
      <c r="E24" s="101"/>
      <c r="F24" s="101"/>
    </row>
    <row r="25" spans="1:6">
      <c r="A25" s="101"/>
      <c r="B25" s="101"/>
      <c r="C25" s="110"/>
      <c r="D25" s="101"/>
      <c r="E25" s="101"/>
      <c r="F25" s="101"/>
    </row>
    <row r="26" spans="1:6">
      <c r="A26" s="101"/>
      <c r="B26" s="101"/>
      <c r="C26" s="110"/>
      <c r="D26" s="101"/>
      <c r="E26" s="101"/>
      <c r="F26" s="101"/>
    </row>
    <row r="27" spans="1:6">
      <c r="A27" s="101"/>
      <c r="B27" s="101"/>
      <c r="C27" s="110"/>
      <c r="D27" s="101"/>
      <c r="E27" s="101"/>
      <c r="F27" s="101"/>
    </row>
    <row r="28" spans="1:6">
      <c r="A28" s="101"/>
      <c r="B28" s="101"/>
      <c r="C28" s="110"/>
      <c r="D28" s="101"/>
      <c r="E28" s="101"/>
      <c r="F28" s="101"/>
    </row>
    <row r="29" spans="1:6">
      <c r="A29" s="101"/>
      <c r="B29" s="101"/>
      <c r="C29" s="110"/>
      <c r="D29" s="101"/>
      <c r="E29" s="101"/>
      <c r="F29" s="101"/>
    </row>
    <row r="30" spans="1:6">
      <c r="A30" s="101"/>
      <c r="B30" s="101"/>
      <c r="C30" s="110"/>
      <c r="D30" s="101"/>
      <c r="E30" s="101"/>
      <c r="F30" s="101"/>
    </row>
    <row r="31" spans="1:6">
      <c r="A31" s="101"/>
      <c r="B31" s="101"/>
      <c r="C31" s="110"/>
      <c r="D31" s="101"/>
      <c r="E31" s="101"/>
      <c r="F31" s="101"/>
    </row>
    <row r="32" spans="1:6">
      <c r="A32" s="101"/>
      <c r="B32" s="101"/>
      <c r="C32" s="110"/>
      <c r="D32" s="101"/>
      <c r="E32" s="101"/>
      <c r="F32" s="101"/>
    </row>
    <row r="33" spans="1:6">
      <c r="A33" s="101"/>
      <c r="B33" s="101"/>
      <c r="C33" s="110"/>
      <c r="D33" s="101"/>
      <c r="E33" s="101"/>
      <c r="F33" s="101"/>
    </row>
    <row r="34" spans="1:6">
      <c r="A34" s="101"/>
      <c r="B34" s="101"/>
      <c r="C34" s="110"/>
      <c r="D34" s="101"/>
      <c r="E34" s="101"/>
      <c r="F34" s="101"/>
    </row>
    <row r="35" spans="1:6">
      <c r="A35" s="101"/>
      <c r="B35" s="101"/>
      <c r="C35" s="110"/>
      <c r="D35" s="101"/>
      <c r="E35" s="101"/>
      <c r="F35" s="101"/>
    </row>
    <row r="36" spans="1:6">
      <c r="A36" s="101"/>
      <c r="B36" s="101"/>
      <c r="C36" s="110"/>
      <c r="D36" s="101"/>
      <c r="E36" s="101"/>
      <c r="F36" s="101"/>
    </row>
    <row r="37" spans="1:6">
      <c r="A37" s="101"/>
      <c r="B37" s="101"/>
      <c r="C37" s="110"/>
      <c r="D37" s="101"/>
      <c r="E37" s="101"/>
      <c r="F37" s="101"/>
    </row>
    <row r="38" spans="1:6">
      <c r="A38" s="101"/>
      <c r="B38" s="101"/>
      <c r="C38" s="110"/>
      <c r="D38" s="101"/>
      <c r="E38" s="101"/>
      <c r="F38" s="101"/>
    </row>
    <row r="39" spans="1:6">
      <c r="A39" s="101"/>
      <c r="B39" s="101"/>
      <c r="C39" s="110"/>
      <c r="D39" s="101"/>
      <c r="E39" s="101"/>
      <c r="F39" s="101"/>
    </row>
    <row r="40" spans="1:6">
      <c r="A40" s="101"/>
      <c r="B40" s="101"/>
      <c r="C40" s="110"/>
      <c r="D40" s="101"/>
      <c r="E40" s="101"/>
      <c r="F40" s="101"/>
    </row>
    <row r="41" spans="1:6">
      <c r="A41" s="101"/>
      <c r="B41" s="101"/>
      <c r="C41" s="110"/>
      <c r="D41" s="101"/>
      <c r="E41" s="101"/>
      <c r="F41" s="101"/>
    </row>
    <row r="42" spans="1:6">
      <c r="A42" s="101"/>
      <c r="B42" s="101"/>
      <c r="C42" s="110"/>
      <c r="D42" s="101"/>
      <c r="E42" s="101"/>
      <c r="F42" s="101"/>
    </row>
    <row r="43" spans="1:6">
      <c r="A43" s="101"/>
      <c r="B43" s="101"/>
      <c r="C43" s="110"/>
      <c r="D43" s="101"/>
      <c r="E43" s="101"/>
      <c r="F43" s="101"/>
    </row>
    <row r="44" spans="1:6">
      <c r="A44" s="101"/>
      <c r="B44" s="101"/>
      <c r="C44" s="110"/>
      <c r="D44" s="101"/>
      <c r="E44" s="101"/>
      <c r="F44" s="101"/>
    </row>
    <row r="45" spans="1:6">
      <c r="A45" s="101"/>
      <c r="B45" s="101"/>
      <c r="C45" s="110"/>
      <c r="D45" s="101"/>
      <c r="E45" s="101"/>
      <c r="F45" s="101"/>
    </row>
    <row r="46" spans="1:6">
      <c r="A46" s="101"/>
      <c r="B46" s="101"/>
      <c r="C46" s="110"/>
      <c r="D46" s="101"/>
      <c r="E46" s="101"/>
      <c r="F46" s="101"/>
    </row>
  </sheetData>
  <mergeCells count="1">
    <mergeCell ref="A1:F1"/>
  </mergeCells>
  <pageMargins left="0.699305555555556" right="0.699305555555556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F104"/>
  <sheetViews>
    <sheetView zoomScale="145" zoomScaleNormal="145" workbookViewId="0">
      <selection activeCell="E51" sqref="E51"/>
    </sheetView>
  </sheetViews>
  <sheetFormatPr defaultColWidth="9" defaultRowHeight="15" outlineLevelCol="5"/>
  <cols>
    <col min="1" max="1" width="9" style="73"/>
    <col min="2" max="2" width="21.625" style="73" customWidth="1"/>
    <col min="3" max="3" width="14.625" style="73" customWidth="1"/>
    <col min="4" max="5" width="18.75" style="73" customWidth="1"/>
    <col min="6" max="6" width="20.125" style="73" customWidth="1"/>
    <col min="7" max="7" width="13.375" customWidth="1"/>
  </cols>
  <sheetData>
    <row r="1" s="72" customFormat="1" ht="32.25" customHeight="1" spans="1:6">
      <c r="A1" s="75" t="s">
        <v>92</v>
      </c>
      <c r="B1" s="76"/>
      <c r="C1" s="76"/>
      <c r="D1" s="76"/>
      <c r="E1" s="76"/>
      <c r="F1" s="76"/>
    </row>
    <row r="2" ht="35" spans="1:6">
      <c r="A2" s="77" t="s">
        <v>1</v>
      </c>
      <c r="B2" s="77" t="s">
        <v>77</v>
      </c>
      <c r="C2" s="77" t="s">
        <v>78</v>
      </c>
      <c r="D2" s="77" t="s">
        <v>79</v>
      </c>
      <c r="E2" s="77" t="s">
        <v>80</v>
      </c>
      <c r="F2" s="77" t="s">
        <v>81</v>
      </c>
    </row>
    <row r="3" spans="1:6">
      <c r="A3" s="79">
        <v>1</v>
      </c>
      <c r="B3" s="79" t="s">
        <v>93</v>
      </c>
      <c r="C3" s="80">
        <v>293.397</v>
      </c>
      <c r="D3" s="80">
        <v>0</v>
      </c>
      <c r="E3" s="80">
        <v>491</v>
      </c>
      <c r="F3" s="81">
        <f t="shared" ref="F3:F52" si="0">D3*E3</f>
        <v>0</v>
      </c>
    </row>
    <row r="4" spans="1:6">
      <c r="A4" s="79">
        <v>2</v>
      </c>
      <c r="B4" s="81" t="s">
        <v>19</v>
      </c>
      <c r="C4" s="83">
        <v>330.167</v>
      </c>
      <c r="D4" s="83">
        <f t="shared" ref="D4:D17" si="1">C4-C3</f>
        <v>36.77</v>
      </c>
      <c r="E4" s="80">
        <v>491</v>
      </c>
      <c r="F4" s="81">
        <f t="shared" si="0"/>
        <v>18054.07</v>
      </c>
    </row>
    <row r="5" spans="1:6">
      <c r="A5" s="79">
        <v>3</v>
      </c>
      <c r="B5" s="81" t="s">
        <v>94</v>
      </c>
      <c r="C5" s="83">
        <v>366.197</v>
      </c>
      <c r="D5" s="83">
        <f t="shared" si="1"/>
        <v>36.03</v>
      </c>
      <c r="E5" s="80">
        <v>491</v>
      </c>
      <c r="F5" s="81">
        <f t="shared" si="0"/>
        <v>17690.73</v>
      </c>
    </row>
    <row r="6" spans="1:6">
      <c r="A6" s="79">
        <v>4</v>
      </c>
      <c r="B6" s="81" t="s">
        <v>95</v>
      </c>
      <c r="C6" s="83">
        <v>398.913</v>
      </c>
      <c r="D6" s="83">
        <f t="shared" si="1"/>
        <v>32.716</v>
      </c>
      <c r="E6" s="80">
        <v>491</v>
      </c>
      <c r="F6" s="81">
        <f t="shared" si="0"/>
        <v>16063.556</v>
      </c>
    </row>
    <row r="7" spans="1:6">
      <c r="A7" s="79">
        <v>5</v>
      </c>
      <c r="B7" s="81" t="s">
        <v>96</v>
      </c>
      <c r="C7" s="83">
        <v>433.347</v>
      </c>
      <c r="D7" s="83">
        <f t="shared" si="1"/>
        <v>34.434</v>
      </c>
      <c r="E7" s="80">
        <v>491</v>
      </c>
      <c r="F7" s="81">
        <f t="shared" si="0"/>
        <v>16907.094</v>
      </c>
    </row>
    <row r="8" spans="1:6">
      <c r="A8" s="79">
        <v>6</v>
      </c>
      <c r="B8" s="81" t="s">
        <v>97</v>
      </c>
      <c r="C8" s="83">
        <v>470.369</v>
      </c>
      <c r="D8" s="83">
        <f t="shared" si="1"/>
        <v>37.022</v>
      </c>
      <c r="E8" s="80">
        <v>491</v>
      </c>
      <c r="F8" s="81">
        <f t="shared" si="0"/>
        <v>18177.802</v>
      </c>
    </row>
    <row r="9" spans="1:6">
      <c r="A9" s="79">
        <v>7</v>
      </c>
      <c r="B9" s="81" t="s">
        <v>98</v>
      </c>
      <c r="C9" s="83">
        <v>501.377</v>
      </c>
      <c r="D9" s="83">
        <f t="shared" si="1"/>
        <v>31.008</v>
      </c>
      <c r="E9" s="80">
        <v>491</v>
      </c>
      <c r="F9" s="81">
        <f t="shared" si="0"/>
        <v>15224.928</v>
      </c>
    </row>
    <row r="10" spans="1:6">
      <c r="A10" s="79">
        <v>8</v>
      </c>
      <c r="B10" s="81" t="s">
        <v>99</v>
      </c>
      <c r="C10" s="83">
        <v>534.226</v>
      </c>
      <c r="D10" s="83">
        <f t="shared" si="1"/>
        <v>32.849</v>
      </c>
      <c r="E10" s="80">
        <v>491</v>
      </c>
      <c r="F10" s="81">
        <f t="shared" si="0"/>
        <v>16128.859</v>
      </c>
    </row>
    <row r="11" spans="1:6">
      <c r="A11" s="79">
        <v>9</v>
      </c>
      <c r="B11" s="84" t="s">
        <v>100</v>
      </c>
      <c r="C11" s="85">
        <v>555.226</v>
      </c>
      <c r="D11" s="85">
        <f t="shared" si="1"/>
        <v>21</v>
      </c>
      <c r="E11" s="80">
        <v>491</v>
      </c>
      <c r="F11" s="81">
        <f t="shared" si="0"/>
        <v>10311</v>
      </c>
    </row>
    <row r="12" spans="1:6">
      <c r="A12" s="79">
        <v>10</v>
      </c>
      <c r="B12" s="84" t="s">
        <v>101</v>
      </c>
      <c r="C12" s="85">
        <v>575.226</v>
      </c>
      <c r="D12" s="85">
        <f t="shared" si="1"/>
        <v>20</v>
      </c>
      <c r="E12" s="80">
        <v>491</v>
      </c>
      <c r="F12" s="81">
        <f t="shared" si="0"/>
        <v>9820</v>
      </c>
    </row>
    <row r="13" spans="1:6">
      <c r="A13" s="79">
        <v>11</v>
      </c>
      <c r="B13" s="84" t="s">
        <v>102</v>
      </c>
      <c r="C13" s="85">
        <v>596.226</v>
      </c>
      <c r="D13" s="85">
        <f t="shared" si="1"/>
        <v>21</v>
      </c>
      <c r="E13" s="80">
        <v>491</v>
      </c>
      <c r="F13" s="81">
        <f t="shared" si="0"/>
        <v>10311</v>
      </c>
    </row>
    <row r="14" spans="1:6">
      <c r="A14" s="79">
        <v>12</v>
      </c>
      <c r="B14" s="84" t="s">
        <v>103</v>
      </c>
      <c r="C14" s="85">
        <v>629.506</v>
      </c>
      <c r="D14" s="85">
        <f t="shared" si="1"/>
        <v>33.28</v>
      </c>
      <c r="E14" s="80">
        <v>491</v>
      </c>
      <c r="F14" s="81">
        <f t="shared" si="0"/>
        <v>16340.48</v>
      </c>
    </row>
    <row r="15" spans="1:6">
      <c r="A15" s="79">
        <v>13</v>
      </c>
      <c r="B15" s="84" t="s">
        <v>104</v>
      </c>
      <c r="C15" s="85">
        <v>660.506</v>
      </c>
      <c r="D15" s="85">
        <f t="shared" si="1"/>
        <v>31</v>
      </c>
      <c r="E15" s="80">
        <v>491</v>
      </c>
      <c r="F15" s="81">
        <f t="shared" si="0"/>
        <v>15221</v>
      </c>
    </row>
    <row r="16" spans="1:6">
      <c r="A16" s="79">
        <v>14</v>
      </c>
      <c r="B16" s="86" t="s">
        <v>105</v>
      </c>
      <c r="C16" s="87">
        <v>693.506</v>
      </c>
      <c r="D16" s="87">
        <f t="shared" si="1"/>
        <v>33</v>
      </c>
      <c r="E16" s="80">
        <v>491</v>
      </c>
      <c r="F16" s="81">
        <f t="shared" si="0"/>
        <v>16203</v>
      </c>
    </row>
    <row r="17" spans="1:6">
      <c r="A17" s="79">
        <v>15</v>
      </c>
      <c r="B17" s="86" t="s">
        <v>106</v>
      </c>
      <c r="C17" s="87">
        <v>725.506</v>
      </c>
      <c r="D17" s="87">
        <f t="shared" si="1"/>
        <v>32</v>
      </c>
      <c r="E17" s="80">
        <v>491</v>
      </c>
      <c r="F17" s="81">
        <f t="shared" si="0"/>
        <v>15712</v>
      </c>
    </row>
    <row r="18" spans="1:6">
      <c r="A18" s="79">
        <v>16</v>
      </c>
      <c r="B18" s="84" t="s">
        <v>107</v>
      </c>
      <c r="C18" s="85">
        <v>756.729</v>
      </c>
      <c r="D18" s="85">
        <v>31.223</v>
      </c>
      <c r="E18" s="80">
        <v>491</v>
      </c>
      <c r="F18" s="81">
        <f t="shared" si="0"/>
        <v>15330.493</v>
      </c>
    </row>
    <row r="19" spans="1:6">
      <c r="A19" s="79">
        <v>17</v>
      </c>
      <c r="B19" s="84" t="s">
        <v>108</v>
      </c>
      <c r="C19" s="85">
        <v>787.568</v>
      </c>
      <c r="D19" s="85">
        <v>31</v>
      </c>
      <c r="E19" s="80">
        <v>491</v>
      </c>
      <c r="F19" s="81">
        <f t="shared" si="0"/>
        <v>15221</v>
      </c>
    </row>
    <row r="20" spans="1:6">
      <c r="A20" s="79">
        <v>18</v>
      </c>
      <c r="B20" s="84" t="s">
        <v>109</v>
      </c>
      <c r="C20" s="85">
        <v>807.339</v>
      </c>
      <c r="D20" s="85">
        <v>19</v>
      </c>
      <c r="E20" s="80">
        <v>491</v>
      </c>
      <c r="F20" s="81">
        <f t="shared" si="0"/>
        <v>9329</v>
      </c>
    </row>
    <row r="21" spans="1:6">
      <c r="A21" s="79">
        <v>19</v>
      </c>
      <c r="B21" s="84" t="s">
        <v>110</v>
      </c>
      <c r="C21" s="85">
        <v>819.306</v>
      </c>
      <c r="D21" s="85">
        <v>13</v>
      </c>
      <c r="E21" s="80">
        <v>491</v>
      </c>
      <c r="F21" s="81">
        <f t="shared" si="0"/>
        <v>6383</v>
      </c>
    </row>
    <row r="22" spans="1:6">
      <c r="A22" s="79">
        <v>20</v>
      </c>
      <c r="B22" s="84" t="s">
        <v>111</v>
      </c>
      <c r="C22" s="85">
        <v>848.306</v>
      </c>
      <c r="D22" s="85">
        <v>30</v>
      </c>
      <c r="E22" s="80">
        <v>491</v>
      </c>
      <c r="F22" s="81">
        <f t="shared" si="0"/>
        <v>14730</v>
      </c>
    </row>
    <row r="23" spans="1:6">
      <c r="A23" s="79">
        <v>21</v>
      </c>
      <c r="B23" s="84" t="s">
        <v>112</v>
      </c>
      <c r="C23" s="85">
        <v>879.779</v>
      </c>
      <c r="D23" s="85">
        <v>31</v>
      </c>
      <c r="E23" s="80">
        <v>491</v>
      </c>
      <c r="F23" s="81">
        <f t="shared" si="0"/>
        <v>15221</v>
      </c>
    </row>
    <row r="24" spans="1:6">
      <c r="A24" s="79">
        <v>22</v>
      </c>
      <c r="B24" s="84" t="s">
        <v>113</v>
      </c>
      <c r="C24" s="85">
        <v>909.779</v>
      </c>
      <c r="D24" s="85">
        <v>30</v>
      </c>
      <c r="E24" s="80">
        <v>491</v>
      </c>
      <c r="F24" s="81">
        <f t="shared" si="0"/>
        <v>14730</v>
      </c>
    </row>
    <row r="25" spans="1:6">
      <c r="A25" s="79">
        <v>23</v>
      </c>
      <c r="B25" s="84" t="s">
        <v>114</v>
      </c>
      <c r="C25" s="85">
        <v>943.779</v>
      </c>
      <c r="D25" s="85">
        <v>37</v>
      </c>
      <c r="E25" s="80">
        <v>491</v>
      </c>
      <c r="F25" s="81">
        <f t="shared" si="0"/>
        <v>18167</v>
      </c>
    </row>
    <row r="26" spans="1:6">
      <c r="A26" s="79">
        <v>24</v>
      </c>
      <c r="B26" s="88" t="s">
        <v>115</v>
      </c>
      <c r="C26" s="88">
        <v>974.354</v>
      </c>
      <c r="D26" s="88">
        <v>29.975</v>
      </c>
      <c r="E26" s="80">
        <v>491</v>
      </c>
      <c r="F26" s="81">
        <f t="shared" si="0"/>
        <v>14717.725</v>
      </c>
    </row>
    <row r="27" spans="1:6">
      <c r="A27" s="79">
        <v>25</v>
      </c>
      <c r="B27" s="88" t="s">
        <v>116</v>
      </c>
      <c r="C27" s="88">
        <v>1008.604</v>
      </c>
      <c r="D27" s="88">
        <v>34.25</v>
      </c>
      <c r="E27" s="80">
        <v>491</v>
      </c>
      <c r="F27" s="81">
        <f t="shared" si="0"/>
        <v>16816.75</v>
      </c>
    </row>
    <row r="28" spans="1:6">
      <c r="A28" s="79">
        <v>26</v>
      </c>
      <c r="B28" s="88" t="s">
        <v>117</v>
      </c>
      <c r="C28" s="88">
        <v>1044.704</v>
      </c>
      <c r="D28" s="88">
        <v>36.1</v>
      </c>
      <c r="E28" s="80">
        <v>491</v>
      </c>
      <c r="F28" s="81">
        <f t="shared" si="0"/>
        <v>17725.1</v>
      </c>
    </row>
    <row r="29" spans="1:6">
      <c r="A29" s="79">
        <v>27</v>
      </c>
      <c r="B29" s="89" t="s">
        <v>118</v>
      </c>
      <c r="C29" s="89">
        <v>1062.804</v>
      </c>
      <c r="D29" s="89">
        <v>18.1</v>
      </c>
      <c r="E29" s="80">
        <v>491</v>
      </c>
      <c r="F29" s="81">
        <f t="shared" si="0"/>
        <v>8887.1</v>
      </c>
    </row>
    <row r="30" spans="1:6">
      <c r="A30" s="79">
        <v>28</v>
      </c>
      <c r="B30" s="89" t="s">
        <v>119</v>
      </c>
      <c r="C30" s="89">
        <v>1073.104</v>
      </c>
      <c r="D30" s="89">
        <v>10.3</v>
      </c>
      <c r="E30" s="80">
        <v>491</v>
      </c>
      <c r="F30" s="81">
        <f t="shared" si="0"/>
        <v>5057.3</v>
      </c>
    </row>
    <row r="31" spans="1:6">
      <c r="A31" s="79">
        <v>29</v>
      </c>
      <c r="B31" s="89" t="s">
        <v>120</v>
      </c>
      <c r="C31" s="89">
        <v>1103.14</v>
      </c>
      <c r="D31" s="89">
        <v>30.036</v>
      </c>
      <c r="E31" s="80">
        <v>491</v>
      </c>
      <c r="F31" s="81">
        <f t="shared" si="0"/>
        <v>14747.676</v>
      </c>
    </row>
    <row r="32" spans="1:6">
      <c r="A32" s="79">
        <v>30</v>
      </c>
      <c r="B32" s="89" t="s">
        <v>121</v>
      </c>
      <c r="C32" s="89">
        <v>1131.776</v>
      </c>
      <c r="D32" s="89">
        <v>28.636</v>
      </c>
      <c r="E32" s="80">
        <v>491</v>
      </c>
      <c r="F32" s="81">
        <f t="shared" si="0"/>
        <v>14060.276</v>
      </c>
    </row>
    <row r="33" spans="1:6">
      <c r="A33" s="79">
        <v>31</v>
      </c>
      <c r="B33" s="89" t="s">
        <v>122</v>
      </c>
      <c r="C33" s="89">
        <v>1160.896</v>
      </c>
      <c r="D33" s="89">
        <v>29.12</v>
      </c>
      <c r="E33" s="80">
        <v>491</v>
      </c>
      <c r="F33" s="81">
        <f t="shared" si="0"/>
        <v>14297.92</v>
      </c>
    </row>
    <row r="34" spans="1:6">
      <c r="A34" s="79">
        <v>32</v>
      </c>
      <c r="B34" s="89" t="s">
        <v>123</v>
      </c>
      <c r="C34" s="89">
        <v>1191.53</v>
      </c>
      <c r="D34" s="89">
        <v>30.634</v>
      </c>
      <c r="E34" s="80">
        <v>491</v>
      </c>
      <c r="F34" s="81">
        <f t="shared" si="0"/>
        <v>15041.294</v>
      </c>
    </row>
    <row r="35" spans="1:6">
      <c r="A35" s="79">
        <v>33</v>
      </c>
      <c r="B35" s="89" t="s">
        <v>124</v>
      </c>
      <c r="C35" s="89">
        <v>1219.505</v>
      </c>
      <c r="D35" s="89">
        <v>27.975</v>
      </c>
      <c r="E35" s="80">
        <v>491</v>
      </c>
      <c r="F35" s="81">
        <f t="shared" si="0"/>
        <v>13735.725</v>
      </c>
    </row>
    <row r="36" spans="1:6">
      <c r="A36" s="79">
        <v>34</v>
      </c>
      <c r="B36" s="89" t="s">
        <v>125</v>
      </c>
      <c r="C36" s="89">
        <v>1250.65</v>
      </c>
      <c r="D36" s="89">
        <v>31.145</v>
      </c>
      <c r="E36" s="80">
        <v>491</v>
      </c>
      <c r="F36" s="81">
        <f t="shared" si="0"/>
        <v>15292.195</v>
      </c>
    </row>
    <row r="37" spans="1:6">
      <c r="A37" s="79">
        <v>35</v>
      </c>
      <c r="B37" s="89" t="s">
        <v>126</v>
      </c>
      <c r="C37" s="89">
        <v>1281.102</v>
      </c>
      <c r="D37" s="89">
        <v>30.552</v>
      </c>
      <c r="E37" s="80">
        <v>491</v>
      </c>
      <c r="F37" s="81">
        <f t="shared" si="0"/>
        <v>15001.032</v>
      </c>
    </row>
    <row r="38" spans="1:6">
      <c r="A38" s="79">
        <v>36</v>
      </c>
      <c r="B38" s="89" t="s">
        <v>62</v>
      </c>
      <c r="C38" s="89">
        <v>1312.56</v>
      </c>
      <c r="D38" s="89">
        <v>31.458</v>
      </c>
      <c r="E38" s="80">
        <v>491</v>
      </c>
      <c r="F38" s="81">
        <f t="shared" si="0"/>
        <v>15445.878</v>
      </c>
    </row>
    <row r="39" spans="1:6">
      <c r="A39" s="79">
        <v>37</v>
      </c>
      <c r="B39" s="89" t="s">
        <v>127</v>
      </c>
      <c r="C39" s="89">
        <v>1328.101</v>
      </c>
      <c r="D39" s="89">
        <v>15.541</v>
      </c>
      <c r="E39" s="80">
        <v>491</v>
      </c>
      <c r="F39" s="81">
        <f t="shared" si="0"/>
        <v>7630.631</v>
      </c>
    </row>
    <row r="40" spans="1:6">
      <c r="A40" s="79">
        <v>38</v>
      </c>
      <c r="B40" s="90" t="s">
        <v>128</v>
      </c>
      <c r="C40" s="91">
        <v>1352.807</v>
      </c>
      <c r="D40" s="90">
        <v>24.706</v>
      </c>
      <c r="E40" s="80">
        <v>491</v>
      </c>
      <c r="F40" s="81">
        <f t="shared" si="0"/>
        <v>12130.646</v>
      </c>
    </row>
    <row r="41" spans="1:6">
      <c r="A41" s="79">
        <v>39</v>
      </c>
      <c r="B41" s="91" t="s">
        <v>129</v>
      </c>
      <c r="C41" s="91">
        <v>1380.537</v>
      </c>
      <c r="D41" s="91">
        <v>27.73</v>
      </c>
      <c r="E41" s="80">
        <v>491</v>
      </c>
      <c r="F41" s="81">
        <f t="shared" si="0"/>
        <v>13615.43</v>
      </c>
    </row>
    <row r="42" spans="1:6">
      <c r="A42" s="79">
        <v>40</v>
      </c>
      <c r="B42" s="91" t="s">
        <v>130</v>
      </c>
      <c r="C42" s="91">
        <v>1410</v>
      </c>
      <c r="D42" s="91">
        <v>29.463</v>
      </c>
      <c r="E42" s="80">
        <v>491</v>
      </c>
      <c r="F42" s="81">
        <f t="shared" si="0"/>
        <v>14466.333</v>
      </c>
    </row>
    <row r="43" spans="1:6">
      <c r="A43" s="79">
        <v>41</v>
      </c>
      <c r="B43" s="92" t="s">
        <v>131</v>
      </c>
      <c r="C43" s="92">
        <v>1424.89</v>
      </c>
      <c r="D43" s="92">
        <v>14.89</v>
      </c>
      <c r="E43" s="80">
        <v>491</v>
      </c>
      <c r="F43" s="81">
        <f t="shared" si="0"/>
        <v>7310.99</v>
      </c>
    </row>
    <row r="44" spans="1:6">
      <c r="A44" s="79">
        <v>42</v>
      </c>
      <c r="B44" s="92" t="s">
        <v>132</v>
      </c>
      <c r="C44" s="92">
        <v>1439.89</v>
      </c>
      <c r="D44" s="92">
        <v>15</v>
      </c>
      <c r="E44" s="80">
        <v>491</v>
      </c>
      <c r="F44" s="81">
        <f t="shared" si="0"/>
        <v>7365</v>
      </c>
    </row>
    <row r="45" spans="1:6">
      <c r="A45" s="79">
        <v>43</v>
      </c>
      <c r="B45" s="92" t="s">
        <v>133</v>
      </c>
      <c r="C45" s="92">
        <v>1468.155</v>
      </c>
      <c r="D45" s="92">
        <v>28.265</v>
      </c>
      <c r="E45" s="80">
        <v>491</v>
      </c>
      <c r="F45" s="81">
        <f t="shared" si="0"/>
        <v>13878.115</v>
      </c>
    </row>
    <row r="46" spans="1:6">
      <c r="A46" s="79">
        <v>44</v>
      </c>
      <c r="B46" s="92" t="s">
        <v>134</v>
      </c>
      <c r="C46" s="92">
        <v>1490.9</v>
      </c>
      <c r="D46" s="92">
        <v>22.745</v>
      </c>
      <c r="E46" s="80">
        <v>491</v>
      </c>
      <c r="F46" s="81">
        <f t="shared" si="0"/>
        <v>11167.795</v>
      </c>
    </row>
    <row r="47" spans="1:6">
      <c r="A47" s="79">
        <v>45</v>
      </c>
      <c r="B47" s="92" t="s">
        <v>135</v>
      </c>
      <c r="C47" s="92">
        <v>1530.95</v>
      </c>
      <c r="D47" s="92">
        <v>40.05</v>
      </c>
      <c r="E47" s="80">
        <v>491</v>
      </c>
      <c r="F47" s="81">
        <f t="shared" si="0"/>
        <v>19664.55</v>
      </c>
    </row>
    <row r="48" spans="1:6">
      <c r="A48" s="79">
        <v>46</v>
      </c>
      <c r="B48" s="92" t="s">
        <v>136</v>
      </c>
      <c r="C48" s="92">
        <v>1557.233</v>
      </c>
      <c r="D48" s="92">
        <v>26.242</v>
      </c>
      <c r="E48" s="80">
        <v>491</v>
      </c>
      <c r="F48" s="81">
        <f t="shared" si="0"/>
        <v>12884.822</v>
      </c>
    </row>
    <row r="49" spans="1:6">
      <c r="A49" s="79">
        <v>47</v>
      </c>
      <c r="B49" s="92" t="s">
        <v>137</v>
      </c>
      <c r="C49" s="92">
        <v>1587.481</v>
      </c>
      <c r="D49" s="92">
        <v>30.248</v>
      </c>
      <c r="E49" s="80">
        <v>491</v>
      </c>
      <c r="F49" s="81">
        <f t="shared" si="0"/>
        <v>14851.768</v>
      </c>
    </row>
    <row r="50" spans="1:6">
      <c r="A50" s="79">
        <v>48</v>
      </c>
      <c r="B50" s="92" t="s">
        <v>138</v>
      </c>
      <c r="C50" s="92">
        <v>1623.188</v>
      </c>
      <c r="D50" s="92">
        <v>35.707</v>
      </c>
      <c r="E50" s="80">
        <v>491</v>
      </c>
      <c r="F50" s="81">
        <f t="shared" si="0"/>
        <v>17532.137</v>
      </c>
    </row>
    <row r="51" spans="1:6">
      <c r="A51" s="79">
        <v>49</v>
      </c>
      <c r="B51" s="92" t="s">
        <v>139</v>
      </c>
      <c r="C51" s="92">
        <v>1663.29</v>
      </c>
      <c r="D51" s="92">
        <v>40.102</v>
      </c>
      <c r="E51" s="80">
        <v>491</v>
      </c>
      <c r="F51" s="81">
        <f t="shared" si="0"/>
        <v>19690.082</v>
      </c>
    </row>
    <row r="52" spans="1:6">
      <c r="A52" s="79">
        <v>50</v>
      </c>
      <c r="B52" s="93" t="s">
        <v>140</v>
      </c>
      <c r="C52" s="93">
        <v>1696.72</v>
      </c>
      <c r="D52" s="93">
        <v>30.798</v>
      </c>
      <c r="E52" s="93">
        <v>373</v>
      </c>
      <c r="F52" s="94">
        <f t="shared" si="0"/>
        <v>11487.654</v>
      </c>
    </row>
    <row r="53" spans="1:6">
      <c r="A53" s="79">
        <v>51</v>
      </c>
      <c r="B53" s="95" t="s">
        <v>141</v>
      </c>
      <c r="C53" s="96">
        <v>1709.141</v>
      </c>
      <c r="D53" s="97">
        <v>12.48</v>
      </c>
      <c r="E53" s="93">
        <v>373</v>
      </c>
      <c r="F53" s="94">
        <f t="shared" ref="F53:F59" si="2">D53*E53</f>
        <v>4655.04</v>
      </c>
    </row>
    <row r="54" spans="1:6">
      <c r="A54" s="79">
        <v>52</v>
      </c>
      <c r="B54" s="95" t="s">
        <v>142</v>
      </c>
      <c r="C54" s="96">
        <v>1726.7</v>
      </c>
      <c r="D54" s="97">
        <v>16.47</v>
      </c>
      <c r="E54" s="93">
        <v>373</v>
      </c>
      <c r="F54" s="94">
        <f t="shared" si="2"/>
        <v>6143.31</v>
      </c>
    </row>
    <row r="55" spans="1:6">
      <c r="A55" s="79">
        <v>53</v>
      </c>
      <c r="B55" s="99" t="s">
        <v>143</v>
      </c>
      <c r="C55" s="96">
        <v>1754.6</v>
      </c>
      <c r="D55" s="97">
        <v>43.69</v>
      </c>
      <c r="E55" s="93">
        <v>373</v>
      </c>
      <c r="F55" s="94">
        <f t="shared" si="2"/>
        <v>16296.37</v>
      </c>
    </row>
    <row r="56" spans="1:6">
      <c r="A56" s="79">
        <v>54</v>
      </c>
      <c r="B56" s="99" t="s">
        <v>144</v>
      </c>
      <c r="C56" s="96">
        <v>1781</v>
      </c>
      <c r="D56" s="97">
        <f>C56-C55</f>
        <v>26.4000000000001</v>
      </c>
      <c r="E56" s="93">
        <v>373</v>
      </c>
      <c r="F56" s="94">
        <f t="shared" si="2"/>
        <v>9847.20000000003</v>
      </c>
    </row>
    <row r="57" spans="1:6">
      <c r="A57" s="79">
        <v>55</v>
      </c>
      <c r="B57" s="99" t="s">
        <v>22</v>
      </c>
      <c r="C57" s="96">
        <v>1809.17</v>
      </c>
      <c r="D57" s="97">
        <f>C57-C56</f>
        <v>28.1700000000001</v>
      </c>
      <c r="E57" s="93">
        <v>373</v>
      </c>
      <c r="F57" s="94">
        <f t="shared" si="2"/>
        <v>10507.41</v>
      </c>
    </row>
    <row r="58" spans="1:6">
      <c r="A58" s="79">
        <v>56</v>
      </c>
      <c r="B58" s="99" t="s">
        <v>16</v>
      </c>
      <c r="C58" s="96">
        <v>1837.9</v>
      </c>
      <c r="D58" s="96">
        <f>C58-C57</f>
        <v>28.73</v>
      </c>
      <c r="E58" s="93">
        <v>373</v>
      </c>
      <c r="F58" s="94">
        <f t="shared" si="2"/>
        <v>10716.29</v>
      </c>
    </row>
    <row r="59" spans="1:6">
      <c r="A59" s="79">
        <v>57</v>
      </c>
      <c r="B59" s="99" t="s">
        <v>17</v>
      </c>
      <c r="C59" s="96">
        <v>1842.35</v>
      </c>
      <c r="D59" s="100"/>
      <c r="E59" s="93">
        <v>373</v>
      </c>
      <c r="F59" s="94">
        <f t="shared" si="2"/>
        <v>0</v>
      </c>
    </row>
    <row r="60" spans="2:3">
      <c r="B60" s="73" t="s">
        <v>145</v>
      </c>
      <c r="C60" s="73" t="s">
        <v>146</v>
      </c>
    </row>
    <row r="61" spans="1:6">
      <c r="A61" s="101"/>
      <c r="B61" s="101"/>
      <c r="C61" s="101"/>
      <c r="D61" s="101"/>
      <c r="E61" s="101"/>
      <c r="F61" s="101"/>
    </row>
    <row r="62" spans="1:6">
      <c r="A62" s="101"/>
      <c r="B62" s="101"/>
      <c r="C62" s="101"/>
      <c r="D62" s="101"/>
      <c r="E62" s="101"/>
      <c r="F62" s="101"/>
    </row>
    <row r="63" spans="1:6">
      <c r="A63" s="101"/>
      <c r="B63" s="101"/>
      <c r="C63" s="101"/>
      <c r="D63" s="101"/>
      <c r="E63" s="101"/>
      <c r="F63" s="101"/>
    </row>
    <row r="64" spans="1:6">
      <c r="A64" s="101"/>
      <c r="B64" s="101"/>
      <c r="C64" s="101"/>
      <c r="D64" s="101"/>
      <c r="E64" s="101"/>
      <c r="F64" s="101"/>
    </row>
    <row r="65" spans="1:6">
      <c r="A65" s="101"/>
      <c r="B65" s="101"/>
      <c r="C65" s="101"/>
      <c r="D65" s="101"/>
      <c r="E65" s="101"/>
      <c r="F65" s="101"/>
    </row>
    <row r="66" spans="1:6">
      <c r="A66" s="101"/>
      <c r="B66" s="101"/>
      <c r="C66" s="101"/>
      <c r="D66" s="101"/>
      <c r="E66" s="101"/>
      <c r="F66" s="101"/>
    </row>
    <row r="67" spans="1:6">
      <c r="A67" s="101"/>
      <c r="B67" s="101"/>
      <c r="C67" s="101"/>
      <c r="D67" s="101"/>
      <c r="E67" s="101"/>
      <c r="F67" s="101"/>
    </row>
    <row r="68" spans="1:6">
      <c r="A68" s="101"/>
      <c r="B68" s="101"/>
      <c r="C68" s="101"/>
      <c r="D68" s="101"/>
      <c r="E68" s="101"/>
      <c r="F68" s="101"/>
    </row>
    <row r="69" spans="1:6">
      <c r="A69" s="101"/>
      <c r="B69" s="101"/>
      <c r="C69" s="101"/>
      <c r="D69" s="101"/>
      <c r="E69" s="101"/>
      <c r="F69" s="101"/>
    </row>
    <row r="70" spans="1:6">
      <c r="A70" s="101"/>
      <c r="B70" s="101"/>
      <c r="C70" s="101"/>
      <c r="D70" s="101"/>
      <c r="E70" s="101"/>
      <c r="F70" s="101"/>
    </row>
    <row r="71" spans="1:6">
      <c r="A71" s="101"/>
      <c r="B71" s="101"/>
      <c r="C71" s="101"/>
      <c r="D71" s="101"/>
      <c r="E71" s="101"/>
      <c r="F71" s="101"/>
    </row>
    <row r="72" spans="1:6">
      <c r="A72" s="101"/>
      <c r="B72" s="101"/>
      <c r="C72" s="101"/>
      <c r="D72" s="101"/>
      <c r="E72" s="101"/>
      <c r="F72" s="101"/>
    </row>
    <row r="73" spans="1:6">
      <c r="A73" s="101"/>
      <c r="B73" s="101"/>
      <c r="C73" s="101"/>
      <c r="D73" s="101"/>
      <c r="E73" s="101"/>
      <c r="F73" s="101"/>
    </row>
    <row r="74" spans="1:6">
      <c r="A74" s="101"/>
      <c r="B74" s="101"/>
      <c r="C74" s="101"/>
      <c r="D74" s="101"/>
      <c r="E74" s="101"/>
      <c r="F74" s="101"/>
    </row>
    <row r="75" spans="1:6">
      <c r="A75" s="101"/>
      <c r="B75" s="101"/>
      <c r="C75" s="101"/>
      <c r="D75" s="101"/>
      <c r="E75" s="101"/>
      <c r="F75" s="101"/>
    </row>
    <row r="76" spans="1:6">
      <c r="A76" s="101"/>
      <c r="B76" s="101"/>
      <c r="C76" s="101"/>
      <c r="D76" s="101"/>
      <c r="E76" s="101"/>
      <c r="F76" s="101"/>
    </row>
    <row r="77" spans="1:6">
      <c r="A77" s="101"/>
      <c r="B77" s="101"/>
      <c r="C77" s="101"/>
      <c r="D77" s="101"/>
      <c r="E77" s="101"/>
      <c r="F77" s="101"/>
    </row>
    <row r="78" spans="1:6">
      <c r="A78" s="101"/>
      <c r="B78" s="101"/>
      <c r="C78" s="101"/>
      <c r="D78" s="101"/>
      <c r="E78" s="101"/>
      <c r="F78" s="101"/>
    </row>
    <row r="79" spans="1:6">
      <c r="A79" s="101"/>
      <c r="B79" s="101"/>
      <c r="C79" s="101"/>
      <c r="D79" s="101"/>
      <c r="E79" s="101"/>
      <c r="F79" s="101"/>
    </row>
    <row r="80" spans="1:6">
      <c r="A80" s="101"/>
      <c r="B80" s="101"/>
      <c r="C80" s="101"/>
      <c r="D80" s="101"/>
      <c r="E80" s="101"/>
      <c r="F80" s="101"/>
    </row>
    <row r="81" spans="1:6">
      <c r="A81" s="101"/>
      <c r="B81" s="101"/>
      <c r="C81" s="101"/>
      <c r="D81" s="101"/>
      <c r="E81" s="101"/>
      <c r="F81" s="101"/>
    </row>
    <row r="82" spans="1:6">
      <c r="A82" s="101"/>
      <c r="B82" s="101"/>
      <c r="C82" s="101"/>
      <c r="D82" s="101"/>
      <c r="E82" s="101"/>
      <c r="F82" s="101"/>
    </row>
    <row r="83" spans="1:6">
      <c r="A83" s="101"/>
      <c r="B83" s="101"/>
      <c r="C83" s="101"/>
      <c r="D83" s="101"/>
      <c r="E83" s="101"/>
      <c r="F83" s="101"/>
    </row>
    <row r="84" spans="1:6">
      <c r="A84" s="101"/>
      <c r="B84" s="101"/>
      <c r="C84" s="101"/>
      <c r="D84" s="101"/>
      <c r="E84" s="101"/>
      <c r="F84" s="101"/>
    </row>
    <row r="85" spans="1:6">
      <c r="A85" s="101"/>
      <c r="B85" s="101"/>
      <c r="C85" s="101"/>
      <c r="D85" s="101"/>
      <c r="E85" s="101"/>
      <c r="F85" s="101"/>
    </row>
    <row r="86" spans="1:6">
      <c r="A86" s="101"/>
      <c r="B86" s="101"/>
      <c r="C86" s="101"/>
      <c r="D86" s="101"/>
      <c r="E86" s="101"/>
      <c r="F86" s="101"/>
    </row>
    <row r="87" spans="1:6">
      <c r="A87" s="101"/>
      <c r="B87" s="101"/>
      <c r="C87" s="101"/>
      <c r="D87" s="101"/>
      <c r="E87" s="101"/>
      <c r="F87" s="101"/>
    </row>
    <row r="88" spans="1:6">
      <c r="A88" s="101"/>
      <c r="B88" s="101"/>
      <c r="C88" s="101"/>
      <c r="D88" s="101"/>
      <c r="E88" s="101"/>
      <c r="F88" s="101"/>
    </row>
    <row r="89" spans="1:6">
      <c r="A89" s="101"/>
      <c r="B89" s="101"/>
      <c r="C89" s="101"/>
      <c r="D89" s="101"/>
      <c r="E89" s="101"/>
      <c r="F89" s="101"/>
    </row>
    <row r="90" spans="1:6">
      <c r="A90" s="101"/>
      <c r="B90" s="101"/>
      <c r="C90" s="101"/>
      <c r="D90" s="101"/>
      <c r="E90" s="101"/>
      <c r="F90" s="101"/>
    </row>
    <row r="91" spans="1:6">
      <c r="A91" s="101"/>
      <c r="B91" s="101"/>
      <c r="C91" s="101"/>
      <c r="D91" s="101"/>
      <c r="E91" s="101"/>
      <c r="F91" s="101"/>
    </row>
    <row r="92" spans="1:6">
      <c r="A92" s="101"/>
      <c r="B92" s="101"/>
      <c r="C92" s="101"/>
      <c r="D92" s="101"/>
      <c r="E92" s="101"/>
      <c r="F92" s="101"/>
    </row>
    <row r="93" spans="1:6">
      <c r="A93" s="101"/>
      <c r="B93" s="101"/>
      <c r="C93" s="101"/>
      <c r="D93" s="101"/>
      <c r="E93" s="101"/>
      <c r="F93" s="101"/>
    </row>
    <row r="94" spans="1:6">
      <c r="A94" s="101"/>
      <c r="B94" s="101"/>
      <c r="C94" s="101"/>
      <c r="D94" s="101"/>
      <c r="E94" s="101"/>
      <c r="F94" s="101"/>
    </row>
    <row r="95" spans="1:6">
      <c r="A95" s="101"/>
      <c r="B95" s="101"/>
      <c r="C95" s="101"/>
      <c r="D95" s="101"/>
      <c r="E95" s="101"/>
      <c r="F95" s="101"/>
    </row>
    <row r="96" spans="1:6">
      <c r="A96" s="101"/>
      <c r="B96" s="101"/>
      <c r="C96" s="101"/>
      <c r="D96" s="101"/>
      <c r="E96" s="101"/>
      <c r="F96" s="101"/>
    </row>
    <row r="97" spans="1:6">
      <c r="A97" s="101"/>
      <c r="B97" s="101"/>
      <c r="C97" s="101"/>
      <c r="D97" s="101"/>
      <c r="E97" s="101"/>
      <c r="F97" s="101"/>
    </row>
    <row r="98" spans="1:6">
      <c r="A98" s="101"/>
      <c r="B98" s="101"/>
      <c r="C98" s="101"/>
      <c r="D98" s="101"/>
      <c r="E98" s="101"/>
      <c r="F98" s="101"/>
    </row>
    <row r="99" spans="1:6">
      <c r="A99" s="101"/>
      <c r="B99" s="101"/>
      <c r="C99" s="101"/>
      <c r="D99" s="101"/>
      <c r="E99" s="101"/>
      <c r="F99" s="101"/>
    </row>
    <row r="100" spans="1:6">
      <c r="A100" s="101"/>
      <c r="B100" s="101"/>
      <c r="C100" s="101"/>
      <c r="D100" s="101"/>
      <c r="E100" s="101"/>
      <c r="F100" s="101"/>
    </row>
    <row r="101" spans="1:6">
      <c r="A101" s="101"/>
      <c r="B101" s="101"/>
      <c r="C101" s="101"/>
      <c r="D101" s="101"/>
      <c r="E101" s="101"/>
      <c r="F101" s="101"/>
    </row>
    <row r="102" spans="1:6">
      <c r="A102" s="101"/>
      <c r="B102" s="101"/>
      <c r="C102" s="101"/>
      <c r="D102" s="101"/>
      <c r="E102" s="101"/>
      <c r="F102" s="101"/>
    </row>
    <row r="103" spans="1:6">
      <c r="A103" s="101"/>
      <c r="B103" s="101"/>
      <c r="C103" s="101"/>
      <c r="D103" s="101"/>
      <c r="E103" s="101"/>
      <c r="F103" s="101"/>
    </row>
    <row r="104" spans="1:6">
      <c r="A104" s="101"/>
      <c r="B104" s="101"/>
      <c r="C104" s="101"/>
      <c r="D104" s="101"/>
      <c r="E104" s="101"/>
      <c r="F104" s="101"/>
    </row>
  </sheetData>
  <mergeCells count="1">
    <mergeCell ref="A1:F1"/>
  </mergeCells>
  <pageMargins left="0.699305555555556" right="0.699305555555556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F58"/>
  <sheetViews>
    <sheetView workbookViewId="0">
      <selection activeCell="K24" sqref="K24"/>
    </sheetView>
  </sheetViews>
  <sheetFormatPr defaultColWidth="9" defaultRowHeight="15" outlineLevelCol="5"/>
  <cols>
    <col min="1" max="1" width="9" style="73"/>
    <col min="2" max="2" width="21.625" style="73" customWidth="1"/>
    <col min="3" max="3" width="14.625" style="73" customWidth="1"/>
    <col min="4" max="5" width="18.75" style="73" customWidth="1"/>
    <col min="6" max="6" width="20.125" style="73" customWidth="1"/>
    <col min="7" max="7" width="19.125" customWidth="1"/>
    <col min="8" max="8" width="13.375" customWidth="1"/>
  </cols>
  <sheetData>
    <row r="1" ht="17.5" spans="1:6">
      <c r="A1" s="102" t="s">
        <v>147</v>
      </c>
      <c r="B1" s="102"/>
      <c r="C1" s="102"/>
      <c r="D1" s="102"/>
      <c r="E1" s="102"/>
      <c r="F1" s="102"/>
    </row>
    <row r="2" ht="35" spans="1:6">
      <c r="A2" s="103" t="s">
        <v>1</v>
      </c>
      <c r="B2" s="103" t="s">
        <v>148</v>
      </c>
      <c r="C2" s="103" t="s">
        <v>149</v>
      </c>
      <c r="D2" s="103" t="s">
        <v>79</v>
      </c>
      <c r="E2" s="103" t="s">
        <v>150</v>
      </c>
      <c r="F2" s="103" t="s">
        <v>81</v>
      </c>
    </row>
    <row r="3" spans="1:6">
      <c r="A3" s="104">
        <v>1</v>
      </c>
      <c r="B3" s="105" t="s">
        <v>151</v>
      </c>
      <c r="C3" s="104">
        <v>0</v>
      </c>
      <c r="D3" s="104">
        <v>0</v>
      </c>
      <c r="E3" s="104">
        <v>292.23</v>
      </c>
      <c r="F3" s="104">
        <f>D3*E3</f>
        <v>0</v>
      </c>
    </row>
    <row r="4" spans="1:6">
      <c r="A4" s="104">
        <v>2</v>
      </c>
      <c r="B4" s="105" t="s">
        <v>152</v>
      </c>
      <c r="C4" s="104">
        <v>5.23</v>
      </c>
      <c r="D4" s="104">
        <f>C4-C3</f>
        <v>5.23</v>
      </c>
      <c r="E4" s="104">
        <v>292.23</v>
      </c>
      <c r="F4" s="104">
        <f t="shared" ref="F4:F8" si="0">D4*E4</f>
        <v>1528.3629</v>
      </c>
    </row>
    <row r="5" spans="1:6">
      <c r="A5" s="104">
        <v>3</v>
      </c>
      <c r="B5" s="105" t="s">
        <v>153</v>
      </c>
      <c r="C5" s="104">
        <v>32.5</v>
      </c>
      <c r="D5" s="104">
        <f>C5-C4</f>
        <v>27.27</v>
      </c>
      <c r="E5" s="104">
        <v>292.23</v>
      </c>
      <c r="F5" s="104">
        <f t="shared" si="0"/>
        <v>7969.1121</v>
      </c>
    </row>
    <row r="6" spans="1:6">
      <c r="A6" s="104">
        <v>4</v>
      </c>
      <c r="B6" s="105" t="s">
        <v>154</v>
      </c>
      <c r="C6" s="104">
        <v>63.7</v>
      </c>
      <c r="D6" s="104">
        <f>C6-C5</f>
        <v>31.2</v>
      </c>
      <c r="E6" s="104">
        <v>292.23</v>
      </c>
      <c r="F6" s="104">
        <f t="shared" si="0"/>
        <v>9117.576</v>
      </c>
    </row>
    <row r="7" spans="1:6">
      <c r="A7" s="104">
        <v>5</v>
      </c>
      <c r="B7" s="105" t="s">
        <v>24</v>
      </c>
      <c r="C7" s="104">
        <v>95.8</v>
      </c>
      <c r="D7" s="104">
        <f>C7-C6</f>
        <v>32.1</v>
      </c>
      <c r="E7" s="104">
        <v>292.23</v>
      </c>
      <c r="F7" s="104">
        <f t="shared" si="0"/>
        <v>9380.583</v>
      </c>
    </row>
    <row r="8" spans="1:6">
      <c r="A8" s="104">
        <v>6</v>
      </c>
      <c r="B8" s="105" t="s">
        <v>155</v>
      </c>
      <c r="C8" s="104">
        <v>115.7</v>
      </c>
      <c r="D8" s="104">
        <f>C8-C7</f>
        <v>19.9</v>
      </c>
      <c r="E8" s="104">
        <v>292.23</v>
      </c>
      <c r="F8" s="104">
        <f t="shared" si="0"/>
        <v>5815.377</v>
      </c>
    </row>
    <row r="9" spans="1:6">
      <c r="A9" s="104">
        <v>7</v>
      </c>
      <c r="B9" s="105" t="s">
        <v>156</v>
      </c>
      <c r="C9" s="104">
        <v>136.2</v>
      </c>
      <c r="D9" s="104">
        <f t="shared" ref="D9:D30" si="1">C9-C8</f>
        <v>20.5</v>
      </c>
      <c r="E9" s="104">
        <v>292.23</v>
      </c>
      <c r="F9" s="104">
        <f t="shared" ref="F9:F30" si="2">D9*E9</f>
        <v>5990.715</v>
      </c>
    </row>
    <row r="10" spans="1:6">
      <c r="A10" s="104">
        <v>8</v>
      </c>
      <c r="B10" s="105" t="s">
        <v>157</v>
      </c>
      <c r="C10" s="104">
        <v>155.2</v>
      </c>
      <c r="D10" s="104">
        <f t="shared" si="1"/>
        <v>19</v>
      </c>
      <c r="E10" s="104">
        <v>292.23</v>
      </c>
      <c r="F10" s="104">
        <f t="shared" si="2"/>
        <v>5552.37</v>
      </c>
    </row>
    <row r="11" spans="1:6">
      <c r="A11" s="104">
        <v>9</v>
      </c>
      <c r="B11" s="105" t="s">
        <v>25</v>
      </c>
      <c r="C11" s="104">
        <v>176.9</v>
      </c>
      <c r="D11" s="104">
        <f t="shared" si="1"/>
        <v>21.7</v>
      </c>
      <c r="E11" s="104">
        <v>292.23</v>
      </c>
      <c r="F11" s="104">
        <f t="shared" si="2"/>
        <v>6341.39100000001</v>
      </c>
    </row>
    <row r="12" spans="1:6">
      <c r="A12" s="104">
        <v>10</v>
      </c>
      <c r="B12" s="105" t="s">
        <v>158</v>
      </c>
      <c r="C12" s="104">
        <v>183</v>
      </c>
      <c r="D12" s="104">
        <f t="shared" si="1"/>
        <v>6.09999999999999</v>
      </c>
      <c r="E12" s="104">
        <v>292.23</v>
      </c>
      <c r="F12" s="104">
        <f t="shared" si="2"/>
        <v>1782.603</v>
      </c>
    </row>
    <row r="13" spans="1:6">
      <c r="A13" s="104">
        <v>11</v>
      </c>
      <c r="B13" s="105" t="s">
        <v>90</v>
      </c>
      <c r="C13" s="104">
        <v>204</v>
      </c>
      <c r="D13" s="104">
        <f t="shared" si="1"/>
        <v>21</v>
      </c>
      <c r="E13" s="104">
        <v>292.23</v>
      </c>
      <c r="F13" s="104">
        <f t="shared" si="2"/>
        <v>6136.83</v>
      </c>
    </row>
    <row r="14" spans="1:6">
      <c r="A14" s="104">
        <v>12</v>
      </c>
      <c r="B14" s="105" t="s">
        <v>19</v>
      </c>
      <c r="C14" s="104">
        <v>231.2</v>
      </c>
      <c r="D14" s="104">
        <f t="shared" si="1"/>
        <v>27.2</v>
      </c>
      <c r="E14" s="104">
        <v>292.23</v>
      </c>
      <c r="F14" s="104">
        <f t="shared" si="2"/>
        <v>7948.656</v>
      </c>
    </row>
    <row r="15" spans="1:6">
      <c r="A15" s="104">
        <v>13</v>
      </c>
      <c r="B15" s="105" t="s">
        <v>20</v>
      </c>
      <c r="C15" s="104">
        <v>258.2</v>
      </c>
      <c r="D15" s="104">
        <f t="shared" si="1"/>
        <v>27</v>
      </c>
      <c r="E15" s="104">
        <v>292.23</v>
      </c>
      <c r="F15" s="104">
        <f t="shared" si="2"/>
        <v>7890.21</v>
      </c>
    </row>
    <row r="16" spans="1:6">
      <c r="A16" s="104">
        <v>14</v>
      </c>
      <c r="B16" s="105" t="s">
        <v>159</v>
      </c>
      <c r="C16" s="104">
        <v>260</v>
      </c>
      <c r="D16" s="104">
        <f t="shared" si="1"/>
        <v>1.80000000000001</v>
      </c>
      <c r="E16" s="104">
        <v>292.23</v>
      </c>
      <c r="F16" s="104">
        <f t="shared" si="2"/>
        <v>526.014000000003</v>
      </c>
    </row>
    <row r="17" spans="1:6">
      <c r="A17" s="104">
        <v>15</v>
      </c>
      <c r="B17" s="105" t="s">
        <v>160</v>
      </c>
      <c r="C17" s="104">
        <v>275.2</v>
      </c>
      <c r="D17" s="104">
        <f t="shared" si="1"/>
        <v>15.2</v>
      </c>
      <c r="E17" s="104">
        <v>292.23</v>
      </c>
      <c r="F17" s="104">
        <f t="shared" si="2"/>
        <v>4441.896</v>
      </c>
    </row>
    <row r="18" spans="1:6">
      <c r="A18" s="104">
        <v>16</v>
      </c>
      <c r="B18" s="105" t="s">
        <v>161</v>
      </c>
      <c r="C18" s="104">
        <v>302.3</v>
      </c>
      <c r="D18" s="104">
        <f t="shared" si="1"/>
        <v>27.1</v>
      </c>
      <c r="E18" s="104">
        <v>292.23</v>
      </c>
      <c r="F18" s="104">
        <f t="shared" si="2"/>
        <v>7919.43300000001</v>
      </c>
    </row>
    <row r="19" spans="1:6">
      <c r="A19" s="104">
        <v>17</v>
      </c>
      <c r="B19" s="105" t="s">
        <v>162</v>
      </c>
      <c r="C19" s="104">
        <v>330.3</v>
      </c>
      <c r="D19" s="104">
        <f t="shared" si="1"/>
        <v>28</v>
      </c>
      <c r="E19" s="104">
        <v>292.23</v>
      </c>
      <c r="F19" s="104">
        <f t="shared" si="2"/>
        <v>8182.44</v>
      </c>
    </row>
    <row r="20" spans="1:6">
      <c r="A20" s="104">
        <v>18</v>
      </c>
      <c r="B20" s="105" t="s">
        <v>163</v>
      </c>
      <c r="C20" s="104">
        <v>352.8</v>
      </c>
      <c r="D20" s="104">
        <f t="shared" si="1"/>
        <v>22.5</v>
      </c>
      <c r="E20" s="104">
        <v>292.23</v>
      </c>
      <c r="F20" s="104">
        <f t="shared" si="2"/>
        <v>6575.175</v>
      </c>
    </row>
    <row r="21" spans="1:6">
      <c r="A21" s="104">
        <v>19</v>
      </c>
      <c r="B21" s="105" t="s">
        <v>164</v>
      </c>
      <c r="C21" s="104">
        <v>375.2</v>
      </c>
      <c r="D21" s="104">
        <f t="shared" si="1"/>
        <v>22.4</v>
      </c>
      <c r="E21" s="104">
        <v>292.23</v>
      </c>
      <c r="F21" s="104">
        <f t="shared" si="2"/>
        <v>6545.95199999999</v>
      </c>
    </row>
    <row r="22" spans="1:6">
      <c r="A22" s="104">
        <v>20</v>
      </c>
      <c r="B22" s="105" t="s">
        <v>102</v>
      </c>
      <c r="C22" s="104">
        <v>398.9</v>
      </c>
      <c r="D22" s="104">
        <f t="shared" si="1"/>
        <v>23.7</v>
      </c>
      <c r="E22" s="104">
        <v>292.23</v>
      </c>
      <c r="F22" s="104">
        <f t="shared" si="2"/>
        <v>6925.851</v>
      </c>
    </row>
    <row r="23" spans="1:6">
      <c r="A23" s="104">
        <v>21</v>
      </c>
      <c r="B23" s="105" t="s">
        <v>165</v>
      </c>
      <c r="C23" s="104">
        <v>423.5</v>
      </c>
      <c r="D23" s="104">
        <f t="shared" si="1"/>
        <v>24.6</v>
      </c>
      <c r="E23" s="104">
        <v>292.23</v>
      </c>
      <c r="F23" s="104">
        <f t="shared" si="2"/>
        <v>7188.85800000001</v>
      </c>
    </row>
    <row r="24" spans="1:6">
      <c r="A24" s="104">
        <v>22</v>
      </c>
      <c r="B24" s="105" t="s">
        <v>166</v>
      </c>
      <c r="C24" s="104">
        <v>439.5</v>
      </c>
      <c r="D24" s="104">
        <f t="shared" si="1"/>
        <v>16</v>
      </c>
      <c r="E24" s="104">
        <v>292.23</v>
      </c>
      <c r="F24" s="104">
        <f t="shared" si="2"/>
        <v>4675.68</v>
      </c>
    </row>
    <row r="25" spans="1:6">
      <c r="A25" s="104">
        <v>23</v>
      </c>
      <c r="B25" s="105" t="s">
        <v>167</v>
      </c>
      <c r="C25" s="104">
        <v>444.4</v>
      </c>
      <c r="D25" s="104">
        <f t="shared" si="1"/>
        <v>4.89999999999998</v>
      </c>
      <c r="E25" s="104">
        <v>292.23</v>
      </c>
      <c r="F25" s="104">
        <f t="shared" si="2"/>
        <v>1431.92699999999</v>
      </c>
    </row>
    <row r="26" spans="1:6">
      <c r="A26" s="104">
        <v>24</v>
      </c>
      <c r="B26" s="105" t="s">
        <v>168</v>
      </c>
      <c r="C26" s="104">
        <v>473.3</v>
      </c>
      <c r="D26" s="104">
        <f t="shared" si="1"/>
        <v>28.9</v>
      </c>
      <c r="E26" s="104">
        <v>292.23</v>
      </c>
      <c r="F26" s="104">
        <f t="shared" si="2"/>
        <v>8445.44700000001</v>
      </c>
    </row>
    <row r="27" spans="1:6">
      <c r="A27" s="104">
        <v>25</v>
      </c>
      <c r="B27" s="105" t="s">
        <v>169</v>
      </c>
      <c r="C27" s="104">
        <v>504.1</v>
      </c>
      <c r="D27" s="104">
        <f t="shared" si="1"/>
        <v>30.8</v>
      </c>
      <c r="E27" s="104">
        <v>292.23</v>
      </c>
      <c r="F27" s="104">
        <f t="shared" si="2"/>
        <v>9000.684</v>
      </c>
    </row>
    <row r="28" spans="1:6">
      <c r="A28" s="104">
        <v>26</v>
      </c>
      <c r="B28" s="105" t="s">
        <v>170</v>
      </c>
      <c r="C28" s="104">
        <v>530.3</v>
      </c>
      <c r="D28" s="104">
        <f t="shared" si="1"/>
        <v>26.1999999999999</v>
      </c>
      <c r="E28" s="104">
        <v>292.23</v>
      </c>
      <c r="F28" s="104">
        <f t="shared" si="2"/>
        <v>7656.42599999998</v>
      </c>
    </row>
    <row r="29" spans="1:6">
      <c r="A29" s="104">
        <v>27</v>
      </c>
      <c r="B29" s="105" t="s">
        <v>171</v>
      </c>
      <c r="C29" s="104">
        <v>546.5</v>
      </c>
      <c r="D29" s="104">
        <f t="shared" si="1"/>
        <v>16.2</v>
      </c>
      <c r="E29" s="104">
        <v>292.23</v>
      </c>
      <c r="F29" s="104">
        <f t="shared" si="2"/>
        <v>4734.12600000001</v>
      </c>
    </row>
    <row r="30" spans="1:6">
      <c r="A30" s="104">
        <v>28</v>
      </c>
      <c r="B30" s="105" t="s">
        <v>172</v>
      </c>
      <c r="C30" s="104">
        <v>576</v>
      </c>
      <c r="D30" s="104">
        <f t="shared" si="1"/>
        <v>29.5</v>
      </c>
      <c r="E30" s="104">
        <v>292.23</v>
      </c>
      <c r="F30" s="104">
        <f t="shared" si="2"/>
        <v>8620.785</v>
      </c>
    </row>
    <row r="31" spans="1:6">
      <c r="A31" s="101"/>
      <c r="B31" s="101"/>
      <c r="C31" s="101"/>
      <c r="D31" s="101"/>
      <c r="E31" s="101"/>
      <c r="F31" s="101"/>
    </row>
    <row r="32" spans="1:6">
      <c r="A32" s="101"/>
      <c r="B32" s="101"/>
      <c r="C32" s="101"/>
      <c r="D32" s="101"/>
      <c r="E32" s="101"/>
      <c r="F32" s="101"/>
    </row>
    <row r="33" spans="1:6">
      <c r="A33" s="101"/>
      <c r="B33" s="101"/>
      <c r="C33" s="101"/>
      <c r="D33" s="101"/>
      <c r="E33" s="101"/>
      <c r="F33" s="101"/>
    </row>
    <row r="34" spans="1:6">
      <c r="A34" s="101"/>
      <c r="B34" s="101"/>
      <c r="C34" s="101"/>
      <c r="D34" s="101"/>
      <c r="E34" s="101"/>
      <c r="F34" s="101"/>
    </row>
    <row r="35" spans="1:6">
      <c r="A35" s="101"/>
      <c r="B35" s="101"/>
      <c r="C35" s="101"/>
      <c r="D35" s="101"/>
      <c r="E35" s="101"/>
      <c r="F35" s="101"/>
    </row>
    <row r="36" spans="1:6">
      <c r="A36" s="101"/>
      <c r="B36" s="101"/>
      <c r="C36" s="101"/>
      <c r="D36" s="101"/>
      <c r="E36" s="101"/>
      <c r="F36" s="101"/>
    </row>
    <row r="37" spans="1:6">
      <c r="A37" s="101"/>
      <c r="B37" s="101"/>
      <c r="C37" s="101"/>
      <c r="D37" s="101"/>
      <c r="E37" s="101"/>
      <c r="F37" s="101"/>
    </row>
    <row r="38" spans="1:6">
      <c r="A38" s="101"/>
      <c r="B38" s="101"/>
      <c r="C38" s="101"/>
      <c r="D38" s="101"/>
      <c r="E38" s="101"/>
      <c r="F38" s="101"/>
    </row>
    <row r="39" spans="1:6">
      <c r="A39" s="101"/>
      <c r="B39" s="101"/>
      <c r="C39" s="101"/>
      <c r="D39" s="101"/>
      <c r="E39" s="101"/>
      <c r="F39" s="101"/>
    </row>
    <row r="40" spans="1:6">
      <c r="A40" s="101"/>
      <c r="B40" s="101"/>
      <c r="C40" s="101"/>
      <c r="D40" s="101"/>
      <c r="E40" s="101"/>
      <c r="F40" s="101"/>
    </row>
    <row r="41" spans="1:6">
      <c r="A41" s="101"/>
      <c r="B41" s="101"/>
      <c r="C41" s="101"/>
      <c r="D41" s="101"/>
      <c r="E41" s="101"/>
      <c r="F41" s="101"/>
    </row>
    <row r="42" spans="1:6">
      <c r="A42" s="101"/>
      <c r="B42" s="101"/>
      <c r="C42" s="101"/>
      <c r="D42" s="101"/>
      <c r="E42" s="101"/>
      <c r="F42" s="101"/>
    </row>
    <row r="43" spans="1:6">
      <c r="A43" s="101"/>
      <c r="B43" s="101"/>
      <c r="C43" s="101"/>
      <c r="D43" s="101"/>
      <c r="E43" s="101"/>
      <c r="F43" s="101"/>
    </row>
    <row r="44" spans="1:6">
      <c r="A44" s="101"/>
      <c r="B44" s="101"/>
      <c r="C44" s="101"/>
      <c r="D44" s="101"/>
      <c r="E44" s="101"/>
      <c r="F44" s="101"/>
    </row>
    <row r="45" spans="1:6">
      <c r="A45" s="101"/>
      <c r="B45" s="101"/>
      <c r="C45" s="101"/>
      <c r="D45" s="101"/>
      <c r="E45" s="101"/>
      <c r="F45" s="101"/>
    </row>
    <row r="46" spans="1:6">
      <c r="A46" s="101"/>
      <c r="B46" s="101"/>
      <c r="C46" s="101"/>
      <c r="D46" s="101"/>
      <c r="E46" s="101"/>
      <c r="F46" s="101"/>
    </row>
    <row r="47" spans="1:6">
      <c r="A47" s="101"/>
      <c r="B47" s="101"/>
      <c r="C47" s="101"/>
      <c r="D47" s="101"/>
      <c r="E47" s="101"/>
      <c r="F47" s="101"/>
    </row>
    <row r="48" spans="1:6">
      <c r="A48" s="101"/>
      <c r="B48" s="101"/>
      <c r="C48" s="101"/>
      <c r="D48" s="101"/>
      <c r="E48" s="101"/>
      <c r="F48" s="101"/>
    </row>
    <row r="49" spans="1:6">
      <c r="A49" s="101"/>
      <c r="B49" s="101"/>
      <c r="C49" s="101"/>
      <c r="D49" s="101"/>
      <c r="E49" s="101"/>
      <c r="F49" s="101"/>
    </row>
    <row r="50" spans="1:6">
      <c r="A50" s="101"/>
      <c r="B50" s="101"/>
      <c r="C50" s="101"/>
      <c r="D50" s="101"/>
      <c r="E50" s="101"/>
      <c r="F50" s="101"/>
    </row>
    <row r="51" spans="1:6">
      <c r="A51" s="101"/>
      <c r="B51" s="101"/>
      <c r="C51" s="101"/>
      <c r="D51" s="101"/>
      <c r="E51" s="101"/>
      <c r="F51" s="101"/>
    </row>
    <row r="52" spans="1:6">
      <c r="A52" s="101"/>
      <c r="B52" s="101"/>
      <c r="C52" s="101"/>
      <c r="D52" s="101"/>
      <c r="E52" s="101"/>
      <c r="F52" s="101"/>
    </row>
    <row r="53" spans="1:6">
      <c r="A53" s="101"/>
      <c r="B53" s="101"/>
      <c r="C53" s="101"/>
      <c r="D53" s="101"/>
      <c r="E53" s="101"/>
      <c r="F53" s="101"/>
    </row>
    <row r="54" spans="1:6">
      <c r="A54" s="101"/>
      <c r="B54" s="101"/>
      <c r="C54" s="101"/>
      <c r="D54" s="101"/>
      <c r="E54" s="101"/>
      <c r="F54" s="101"/>
    </row>
    <row r="55" spans="1:6">
      <c r="A55" s="101"/>
      <c r="B55" s="101"/>
      <c r="C55" s="101"/>
      <c r="D55" s="101"/>
      <c r="E55" s="101"/>
      <c r="F55" s="101"/>
    </row>
    <row r="56" spans="1:6">
      <c r="A56" s="101"/>
      <c r="B56" s="101"/>
      <c r="C56" s="101"/>
      <c r="D56" s="101"/>
      <c r="E56" s="101"/>
      <c r="F56" s="101"/>
    </row>
    <row r="57" spans="1:6">
      <c r="A57" s="101"/>
      <c r="B57" s="101"/>
      <c r="C57" s="101"/>
      <c r="D57" s="101"/>
      <c r="E57" s="101"/>
      <c r="F57" s="101"/>
    </row>
    <row r="58" spans="1:6">
      <c r="A58" s="101"/>
      <c r="B58" s="101"/>
      <c r="C58" s="101"/>
      <c r="D58" s="101"/>
      <c r="E58" s="101"/>
      <c r="F58" s="101"/>
    </row>
  </sheetData>
  <mergeCells count="1">
    <mergeCell ref="A1:F1"/>
  </mergeCells>
  <pageMargins left="0.699305555555556" right="0.699305555555556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I114"/>
  <sheetViews>
    <sheetView zoomScale="85" zoomScaleNormal="85" workbookViewId="0">
      <selection activeCell="K24" sqref="K24"/>
    </sheetView>
  </sheetViews>
  <sheetFormatPr defaultColWidth="9" defaultRowHeight="15"/>
  <cols>
    <col min="1" max="1" width="9" style="73"/>
    <col min="2" max="2" width="21.625" style="73" customWidth="1"/>
    <col min="3" max="3" width="14.625" style="73" customWidth="1"/>
    <col min="4" max="5" width="18.75" style="73" customWidth="1"/>
    <col min="6" max="6" width="20.125" style="73" customWidth="1"/>
    <col min="7" max="7" width="13.375" customWidth="1"/>
    <col min="9" max="9" width="12.625" style="74"/>
  </cols>
  <sheetData>
    <row r="1" s="72" customFormat="1" ht="17.5" spans="1:9">
      <c r="A1" s="75" t="s">
        <v>173</v>
      </c>
      <c r="B1" s="76"/>
      <c r="C1" s="76"/>
      <c r="D1" s="76"/>
      <c r="E1" s="76"/>
      <c r="F1" s="76"/>
      <c r="I1" s="98"/>
    </row>
    <row r="2" ht="44.25" customHeight="1" spans="1:6">
      <c r="A2" s="77" t="s">
        <v>1</v>
      </c>
      <c r="B2" s="77" t="s">
        <v>77</v>
      </c>
      <c r="C2" s="77" t="s">
        <v>78</v>
      </c>
      <c r="D2" s="77" t="s">
        <v>79</v>
      </c>
      <c r="E2" s="77" t="s">
        <v>80</v>
      </c>
      <c r="F2" s="77" t="s">
        <v>81</v>
      </c>
    </row>
    <row r="3" spans="1:6">
      <c r="A3" s="78">
        <v>1</v>
      </c>
      <c r="B3" s="78" t="s">
        <v>174</v>
      </c>
      <c r="C3" s="78">
        <v>0</v>
      </c>
      <c r="D3" s="78"/>
      <c r="E3" s="78">
        <v>233</v>
      </c>
      <c r="F3" s="78">
        <v>0</v>
      </c>
    </row>
    <row r="4" spans="1:6">
      <c r="A4" s="79">
        <v>2</v>
      </c>
      <c r="B4" s="79" t="s">
        <v>175</v>
      </c>
      <c r="C4" s="80">
        <v>33.152</v>
      </c>
      <c r="D4" s="80">
        <f t="shared" ref="D4:D27" si="0">C4-C3</f>
        <v>33.152</v>
      </c>
      <c r="E4" s="80">
        <v>233</v>
      </c>
      <c r="F4" s="81">
        <f>D4*E4</f>
        <v>7724.416</v>
      </c>
    </row>
    <row r="5" spans="1:6">
      <c r="A5" s="79">
        <v>3</v>
      </c>
      <c r="B5" s="82" t="s">
        <v>176</v>
      </c>
      <c r="C5" s="80">
        <v>74.341</v>
      </c>
      <c r="D5" s="80">
        <f t="shared" si="0"/>
        <v>41.189</v>
      </c>
      <c r="E5" s="80">
        <v>233</v>
      </c>
      <c r="F5" s="81">
        <f t="shared" ref="F5:F62" si="1">D5*E5</f>
        <v>9597.037</v>
      </c>
    </row>
    <row r="6" spans="1:6">
      <c r="A6" s="79">
        <v>4</v>
      </c>
      <c r="B6" s="82" t="s">
        <v>177</v>
      </c>
      <c r="C6" s="80">
        <v>111.47</v>
      </c>
      <c r="D6" s="80">
        <f t="shared" si="0"/>
        <v>37.129</v>
      </c>
      <c r="E6" s="80">
        <v>233</v>
      </c>
      <c r="F6" s="81">
        <f t="shared" si="1"/>
        <v>8651.057</v>
      </c>
    </row>
    <row r="7" spans="1:6">
      <c r="A7" s="79">
        <v>5</v>
      </c>
      <c r="B7" s="79" t="s">
        <v>178</v>
      </c>
      <c r="C7" s="80">
        <v>118.429</v>
      </c>
      <c r="D7" s="80">
        <f t="shared" si="0"/>
        <v>6.959</v>
      </c>
      <c r="E7" s="80">
        <v>233</v>
      </c>
      <c r="F7" s="81">
        <f t="shared" si="1"/>
        <v>1621.447</v>
      </c>
    </row>
    <row r="8" spans="1:6">
      <c r="A8" s="79">
        <v>6</v>
      </c>
      <c r="B8" s="79" t="s">
        <v>179</v>
      </c>
      <c r="C8" s="80">
        <v>145.13</v>
      </c>
      <c r="D8" s="80">
        <f t="shared" si="0"/>
        <v>26.701</v>
      </c>
      <c r="E8" s="80">
        <v>233</v>
      </c>
      <c r="F8" s="81">
        <f t="shared" si="1"/>
        <v>6221.333</v>
      </c>
    </row>
    <row r="9" spans="1:6">
      <c r="A9" s="79">
        <v>7</v>
      </c>
      <c r="B9" s="79" t="s">
        <v>180</v>
      </c>
      <c r="C9" s="80">
        <v>174.064</v>
      </c>
      <c r="D9" s="80">
        <f t="shared" si="0"/>
        <v>28.934</v>
      </c>
      <c r="E9" s="80">
        <v>233</v>
      </c>
      <c r="F9" s="81">
        <f t="shared" si="1"/>
        <v>6741.622</v>
      </c>
    </row>
    <row r="10" spans="1:6">
      <c r="A10" s="79">
        <v>8</v>
      </c>
      <c r="B10" s="79" t="s">
        <v>87</v>
      </c>
      <c r="C10" s="80">
        <v>210.62</v>
      </c>
      <c r="D10" s="80">
        <f t="shared" si="0"/>
        <v>36.556</v>
      </c>
      <c r="E10" s="80">
        <v>233</v>
      </c>
      <c r="F10" s="81">
        <f t="shared" si="1"/>
        <v>8517.548</v>
      </c>
    </row>
    <row r="11" spans="1:6">
      <c r="A11" s="79">
        <v>9</v>
      </c>
      <c r="B11" s="79" t="s">
        <v>181</v>
      </c>
      <c r="C11" s="80">
        <v>238.122</v>
      </c>
      <c r="D11" s="80">
        <f t="shared" si="0"/>
        <v>27.502</v>
      </c>
      <c r="E11" s="80">
        <v>233</v>
      </c>
      <c r="F11" s="81">
        <f t="shared" si="1"/>
        <v>6407.966</v>
      </c>
    </row>
    <row r="12" spans="1:6">
      <c r="A12" s="79">
        <v>10</v>
      </c>
      <c r="B12" s="79" t="s">
        <v>182</v>
      </c>
      <c r="C12" s="80">
        <v>266.333</v>
      </c>
      <c r="D12" s="80">
        <f t="shared" si="0"/>
        <v>28.211</v>
      </c>
      <c r="E12" s="80">
        <v>233</v>
      </c>
      <c r="F12" s="81">
        <f t="shared" si="1"/>
        <v>6573.163</v>
      </c>
    </row>
    <row r="13" spans="1:6">
      <c r="A13" s="79">
        <v>11</v>
      </c>
      <c r="B13" s="79" t="s">
        <v>93</v>
      </c>
      <c r="C13" s="80">
        <v>293.397</v>
      </c>
      <c r="D13" s="80">
        <f t="shared" si="0"/>
        <v>27.064</v>
      </c>
      <c r="E13" s="80">
        <v>233</v>
      </c>
      <c r="F13" s="81">
        <f t="shared" si="1"/>
        <v>6305.91199999999</v>
      </c>
    </row>
    <row r="14" spans="1:6">
      <c r="A14" s="81">
        <v>12</v>
      </c>
      <c r="B14" s="81" t="s">
        <v>19</v>
      </c>
      <c r="C14" s="83">
        <v>330.167</v>
      </c>
      <c r="D14" s="83">
        <f t="shared" si="0"/>
        <v>36.77</v>
      </c>
      <c r="E14" s="80">
        <v>233</v>
      </c>
      <c r="F14" s="81">
        <f t="shared" si="1"/>
        <v>8567.41</v>
      </c>
    </row>
    <row r="15" spans="1:6">
      <c r="A15" s="81">
        <v>13</v>
      </c>
      <c r="B15" s="81" t="s">
        <v>94</v>
      </c>
      <c r="C15" s="83">
        <v>366.197</v>
      </c>
      <c r="D15" s="83">
        <f t="shared" si="0"/>
        <v>36.03</v>
      </c>
      <c r="E15" s="80">
        <v>233</v>
      </c>
      <c r="F15" s="81">
        <f t="shared" si="1"/>
        <v>8394.99000000001</v>
      </c>
    </row>
    <row r="16" spans="1:6">
      <c r="A16" s="81">
        <v>14</v>
      </c>
      <c r="B16" s="81" t="s">
        <v>95</v>
      </c>
      <c r="C16" s="83">
        <v>398.913</v>
      </c>
      <c r="D16" s="83">
        <f t="shared" si="0"/>
        <v>32.716</v>
      </c>
      <c r="E16" s="80">
        <v>233</v>
      </c>
      <c r="F16" s="81">
        <f t="shared" si="1"/>
        <v>7622.828</v>
      </c>
    </row>
    <row r="17" spans="1:6">
      <c r="A17" s="81">
        <v>15</v>
      </c>
      <c r="B17" s="81" t="s">
        <v>96</v>
      </c>
      <c r="C17" s="83">
        <v>433.347</v>
      </c>
      <c r="D17" s="83">
        <f t="shared" si="0"/>
        <v>34.434</v>
      </c>
      <c r="E17" s="80">
        <v>233</v>
      </c>
      <c r="F17" s="81">
        <f t="shared" si="1"/>
        <v>8023.12199999999</v>
      </c>
    </row>
    <row r="18" spans="1:6">
      <c r="A18" s="81">
        <v>16</v>
      </c>
      <c r="B18" s="81" t="s">
        <v>97</v>
      </c>
      <c r="C18" s="83">
        <v>470.369</v>
      </c>
      <c r="D18" s="83">
        <f t="shared" si="0"/>
        <v>37.022</v>
      </c>
      <c r="E18" s="80">
        <v>233</v>
      </c>
      <c r="F18" s="81">
        <f t="shared" si="1"/>
        <v>8626.12600000001</v>
      </c>
    </row>
    <row r="19" spans="1:6">
      <c r="A19" s="81">
        <v>17</v>
      </c>
      <c r="B19" s="81" t="s">
        <v>98</v>
      </c>
      <c r="C19" s="83">
        <v>501.377</v>
      </c>
      <c r="D19" s="83">
        <f t="shared" si="0"/>
        <v>31.008</v>
      </c>
      <c r="E19" s="80">
        <v>233</v>
      </c>
      <c r="F19" s="81">
        <f t="shared" si="1"/>
        <v>7224.864</v>
      </c>
    </row>
    <row r="20" spans="1:6">
      <c r="A20" s="81">
        <v>18</v>
      </c>
      <c r="B20" s="81" t="s">
        <v>99</v>
      </c>
      <c r="C20" s="83">
        <v>534.226</v>
      </c>
      <c r="D20" s="83">
        <f t="shared" si="0"/>
        <v>32.849</v>
      </c>
      <c r="E20" s="80">
        <v>233</v>
      </c>
      <c r="F20" s="81">
        <f t="shared" si="1"/>
        <v>7653.817</v>
      </c>
    </row>
    <row r="21" spans="1:6">
      <c r="A21" s="84">
        <v>19</v>
      </c>
      <c r="B21" s="84" t="s">
        <v>100</v>
      </c>
      <c r="C21" s="85">
        <v>555.226</v>
      </c>
      <c r="D21" s="85">
        <f t="shared" si="0"/>
        <v>21</v>
      </c>
      <c r="E21" s="80">
        <v>233</v>
      </c>
      <c r="F21" s="81">
        <f t="shared" si="1"/>
        <v>4893</v>
      </c>
    </row>
    <row r="22" spans="1:6">
      <c r="A22" s="84">
        <v>20</v>
      </c>
      <c r="B22" s="84" t="s">
        <v>101</v>
      </c>
      <c r="C22" s="85">
        <v>575.226</v>
      </c>
      <c r="D22" s="85">
        <f t="shared" si="0"/>
        <v>20</v>
      </c>
      <c r="E22" s="80">
        <v>233</v>
      </c>
      <c r="F22" s="81">
        <f t="shared" si="1"/>
        <v>4660</v>
      </c>
    </row>
    <row r="23" spans="1:6">
      <c r="A23" s="84">
        <v>21</v>
      </c>
      <c r="B23" s="84" t="s">
        <v>102</v>
      </c>
      <c r="C23" s="85">
        <v>596.226</v>
      </c>
      <c r="D23" s="85">
        <f t="shared" si="0"/>
        <v>21</v>
      </c>
      <c r="E23" s="80">
        <v>233</v>
      </c>
      <c r="F23" s="81">
        <f t="shared" si="1"/>
        <v>4893</v>
      </c>
    </row>
    <row r="24" spans="1:6">
      <c r="A24" s="84">
        <v>22</v>
      </c>
      <c r="B24" s="84" t="s">
        <v>103</v>
      </c>
      <c r="C24" s="85">
        <v>629.506</v>
      </c>
      <c r="D24" s="85">
        <f t="shared" si="0"/>
        <v>33.28</v>
      </c>
      <c r="E24" s="80">
        <v>233</v>
      </c>
      <c r="F24" s="81">
        <f t="shared" si="1"/>
        <v>7754.23999999999</v>
      </c>
    </row>
    <row r="25" spans="1:6">
      <c r="A25" s="84">
        <v>23</v>
      </c>
      <c r="B25" s="84" t="s">
        <v>104</v>
      </c>
      <c r="C25" s="85">
        <v>660.506</v>
      </c>
      <c r="D25" s="85">
        <f t="shared" si="0"/>
        <v>31</v>
      </c>
      <c r="E25" s="80">
        <v>233</v>
      </c>
      <c r="F25" s="81">
        <f t="shared" si="1"/>
        <v>7223</v>
      </c>
    </row>
    <row r="26" spans="1:6">
      <c r="A26" s="86">
        <v>24</v>
      </c>
      <c r="B26" s="86" t="s">
        <v>105</v>
      </c>
      <c r="C26" s="87">
        <v>693.506</v>
      </c>
      <c r="D26" s="87">
        <f t="shared" si="0"/>
        <v>33</v>
      </c>
      <c r="E26" s="80">
        <v>233</v>
      </c>
      <c r="F26" s="81">
        <f t="shared" si="1"/>
        <v>7689</v>
      </c>
    </row>
    <row r="27" spans="1:6">
      <c r="A27" s="86">
        <v>25</v>
      </c>
      <c r="B27" s="86" t="s">
        <v>106</v>
      </c>
      <c r="C27" s="87">
        <v>725.506</v>
      </c>
      <c r="D27" s="87">
        <f t="shared" si="0"/>
        <v>32</v>
      </c>
      <c r="E27" s="80">
        <v>233</v>
      </c>
      <c r="F27" s="81">
        <f t="shared" si="1"/>
        <v>7456</v>
      </c>
    </row>
    <row r="28" spans="1:6">
      <c r="A28" s="86">
        <v>26</v>
      </c>
      <c r="B28" s="84" t="s">
        <v>107</v>
      </c>
      <c r="C28" s="85">
        <v>756.729</v>
      </c>
      <c r="D28" s="85">
        <v>31.223</v>
      </c>
      <c r="E28" s="80">
        <v>233</v>
      </c>
      <c r="F28" s="81">
        <f t="shared" si="1"/>
        <v>7274.959</v>
      </c>
    </row>
    <row r="29" spans="1:6">
      <c r="A29" s="86">
        <v>27</v>
      </c>
      <c r="B29" s="84" t="s">
        <v>108</v>
      </c>
      <c r="C29" s="85">
        <v>787.568</v>
      </c>
      <c r="D29" s="85">
        <v>31</v>
      </c>
      <c r="E29" s="80">
        <v>233</v>
      </c>
      <c r="F29" s="81">
        <f t="shared" si="1"/>
        <v>7223</v>
      </c>
    </row>
    <row r="30" spans="1:6">
      <c r="A30" s="86">
        <v>28</v>
      </c>
      <c r="B30" s="84" t="s">
        <v>109</v>
      </c>
      <c r="C30" s="85">
        <v>807.339</v>
      </c>
      <c r="D30" s="85">
        <v>19</v>
      </c>
      <c r="E30" s="80">
        <v>233</v>
      </c>
      <c r="F30" s="81">
        <f t="shared" si="1"/>
        <v>4427</v>
      </c>
    </row>
    <row r="31" spans="1:6">
      <c r="A31" s="86">
        <v>29</v>
      </c>
      <c r="B31" s="84" t="s">
        <v>110</v>
      </c>
      <c r="C31" s="85">
        <v>819.306</v>
      </c>
      <c r="D31" s="85">
        <v>13</v>
      </c>
      <c r="E31" s="80">
        <v>233</v>
      </c>
      <c r="F31" s="81">
        <f t="shared" si="1"/>
        <v>3029</v>
      </c>
    </row>
    <row r="32" spans="1:6">
      <c r="A32" s="86">
        <v>30</v>
      </c>
      <c r="B32" s="84" t="s">
        <v>111</v>
      </c>
      <c r="C32" s="85">
        <v>848.306</v>
      </c>
      <c r="D32" s="85">
        <v>30</v>
      </c>
      <c r="E32" s="80">
        <v>233</v>
      </c>
      <c r="F32" s="81">
        <f t="shared" si="1"/>
        <v>6990</v>
      </c>
    </row>
    <row r="33" spans="1:6">
      <c r="A33" s="86">
        <v>31</v>
      </c>
      <c r="B33" s="84" t="s">
        <v>112</v>
      </c>
      <c r="C33" s="85">
        <v>879.779</v>
      </c>
      <c r="D33" s="85">
        <v>31</v>
      </c>
      <c r="E33" s="80">
        <v>233</v>
      </c>
      <c r="F33" s="81">
        <f t="shared" si="1"/>
        <v>7223</v>
      </c>
    </row>
    <row r="34" spans="1:6">
      <c r="A34" s="86">
        <v>32</v>
      </c>
      <c r="B34" s="84" t="s">
        <v>113</v>
      </c>
      <c r="C34" s="85">
        <v>909.779</v>
      </c>
      <c r="D34" s="85">
        <v>30</v>
      </c>
      <c r="E34" s="80">
        <v>233</v>
      </c>
      <c r="F34" s="81">
        <f t="shared" si="1"/>
        <v>6990</v>
      </c>
    </row>
    <row r="35" spans="1:6">
      <c r="A35" s="86">
        <v>33</v>
      </c>
      <c r="B35" s="84" t="s">
        <v>114</v>
      </c>
      <c r="C35" s="85">
        <v>943.779</v>
      </c>
      <c r="D35" s="85">
        <v>37</v>
      </c>
      <c r="E35" s="80">
        <v>233</v>
      </c>
      <c r="F35" s="81">
        <f t="shared" si="1"/>
        <v>8621</v>
      </c>
    </row>
    <row r="36" spans="1:6">
      <c r="A36" s="86">
        <v>34</v>
      </c>
      <c r="B36" s="88" t="s">
        <v>115</v>
      </c>
      <c r="C36" s="88">
        <v>974.354</v>
      </c>
      <c r="D36" s="88">
        <v>29.975</v>
      </c>
      <c r="E36" s="80">
        <v>233</v>
      </c>
      <c r="F36" s="81">
        <f t="shared" si="1"/>
        <v>6984.175</v>
      </c>
    </row>
    <row r="37" spans="1:6">
      <c r="A37" s="86">
        <v>35</v>
      </c>
      <c r="B37" s="88" t="s">
        <v>116</v>
      </c>
      <c r="C37" s="88">
        <v>1008.604</v>
      </c>
      <c r="D37" s="88">
        <v>34.25</v>
      </c>
      <c r="E37" s="80">
        <v>233</v>
      </c>
      <c r="F37" s="81">
        <f t="shared" si="1"/>
        <v>7980.25</v>
      </c>
    </row>
    <row r="38" spans="1:6">
      <c r="A38" s="86">
        <v>36</v>
      </c>
      <c r="B38" s="88" t="s">
        <v>117</v>
      </c>
      <c r="C38" s="88">
        <v>1044.704</v>
      </c>
      <c r="D38" s="88">
        <v>36.1</v>
      </c>
      <c r="E38" s="80">
        <v>233</v>
      </c>
      <c r="F38" s="81">
        <f t="shared" si="1"/>
        <v>8411.3</v>
      </c>
    </row>
    <row r="39" spans="1:6">
      <c r="A39" s="86">
        <v>37</v>
      </c>
      <c r="B39" s="89" t="s">
        <v>118</v>
      </c>
      <c r="C39" s="89">
        <v>1062.804</v>
      </c>
      <c r="D39" s="89">
        <v>18.1</v>
      </c>
      <c r="E39" s="80">
        <v>233</v>
      </c>
      <c r="F39" s="81">
        <f t="shared" si="1"/>
        <v>4217.3</v>
      </c>
    </row>
    <row r="40" spans="1:6">
      <c r="A40" s="86">
        <v>38</v>
      </c>
      <c r="B40" s="89" t="s">
        <v>119</v>
      </c>
      <c r="C40" s="89">
        <v>1073.104</v>
      </c>
      <c r="D40" s="89">
        <v>10.3</v>
      </c>
      <c r="E40" s="80">
        <v>233</v>
      </c>
      <c r="F40" s="81">
        <f t="shared" si="1"/>
        <v>2399.9</v>
      </c>
    </row>
    <row r="41" spans="1:6">
      <c r="A41" s="86">
        <v>39</v>
      </c>
      <c r="B41" s="89" t="s">
        <v>120</v>
      </c>
      <c r="C41" s="89">
        <v>1103.14</v>
      </c>
      <c r="D41" s="89">
        <v>30.036</v>
      </c>
      <c r="E41" s="80">
        <v>233</v>
      </c>
      <c r="F41" s="81">
        <f t="shared" si="1"/>
        <v>6998.388</v>
      </c>
    </row>
    <row r="42" spans="1:6">
      <c r="A42" s="86">
        <v>40</v>
      </c>
      <c r="B42" s="89" t="s">
        <v>121</v>
      </c>
      <c r="C42" s="89">
        <v>1131.776</v>
      </c>
      <c r="D42" s="89">
        <v>28.636</v>
      </c>
      <c r="E42" s="80">
        <v>233</v>
      </c>
      <c r="F42" s="81">
        <f t="shared" si="1"/>
        <v>6672.188</v>
      </c>
    </row>
    <row r="43" spans="1:6">
      <c r="A43" s="86">
        <v>41</v>
      </c>
      <c r="B43" s="89" t="s">
        <v>122</v>
      </c>
      <c r="C43" s="89">
        <v>1160.896</v>
      </c>
      <c r="D43" s="89">
        <v>29.12</v>
      </c>
      <c r="E43" s="80">
        <v>233</v>
      </c>
      <c r="F43" s="81">
        <f t="shared" si="1"/>
        <v>6784.96</v>
      </c>
    </row>
    <row r="44" spans="1:6">
      <c r="A44" s="86">
        <v>42</v>
      </c>
      <c r="B44" s="89" t="s">
        <v>123</v>
      </c>
      <c r="C44" s="89">
        <v>1191.53</v>
      </c>
      <c r="D44" s="89">
        <v>30.634</v>
      </c>
      <c r="E44" s="80">
        <v>233</v>
      </c>
      <c r="F44" s="81">
        <f t="shared" si="1"/>
        <v>7137.722</v>
      </c>
    </row>
    <row r="45" spans="1:6">
      <c r="A45" s="86">
        <v>43</v>
      </c>
      <c r="B45" s="89" t="s">
        <v>124</v>
      </c>
      <c r="C45" s="89">
        <v>1219.505</v>
      </c>
      <c r="D45" s="89">
        <v>27.975</v>
      </c>
      <c r="E45" s="80">
        <v>233</v>
      </c>
      <c r="F45" s="81">
        <f t="shared" si="1"/>
        <v>6518.175</v>
      </c>
    </row>
    <row r="46" spans="1:6">
      <c r="A46" s="86">
        <v>44</v>
      </c>
      <c r="B46" s="89" t="s">
        <v>125</v>
      </c>
      <c r="C46" s="89">
        <v>1250.65</v>
      </c>
      <c r="D46" s="89">
        <v>31.145</v>
      </c>
      <c r="E46" s="80">
        <v>233</v>
      </c>
      <c r="F46" s="81">
        <f t="shared" si="1"/>
        <v>7256.785</v>
      </c>
    </row>
    <row r="47" spans="1:6">
      <c r="A47" s="86">
        <v>45</v>
      </c>
      <c r="B47" s="89" t="s">
        <v>126</v>
      </c>
      <c r="C47" s="89">
        <v>1281.102</v>
      </c>
      <c r="D47" s="89">
        <v>30.552</v>
      </c>
      <c r="E47" s="80">
        <v>233</v>
      </c>
      <c r="F47" s="81">
        <f t="shared" si="1"/>
        <v>7118.616</v>
      </c>
    </row>
    <row r="48" spans="1:6">
      <c r="A48" s="86">
        <v>46</v>
      </c>
      <c r="B48" s="89" t="s">
        <v>62</v>
      </c>
      <c r="C48" s="89">
        <v>1312.56</v>
      </c>
      <c r="D48" s="89">
        <v>31.458</v>
      </c>
      <c r="E48" s="80">
        <v>233</v>
      </c>
      <c r="F48" s="81">
        <f t="shared" si="1"/>
        <v>7329.714</v>
      </c>
    </row>
    <row r="49" spans="1:6">
      <c r="A49" s="86">
        <v>47</v>
      </c>
      <c r="B49" s="89" t="s">
        <v>127</v>
      </c>
      <c r="C49" s="89">
        <v>1328.101</v>
      </c>
      <c r="D49" s="89">
        <v>15.541</v>
      </c>
      <c r="E49" s="80">
        <v>233</v>
      </c>
      <c r="F49" s="81">
        <f t="shared" si="1"/>
        <v>3621.053</v>
      </c>
    </row>
    <row r="50" spans="1:6">
      <c r="A50" s="86">
        <v>48</v>
      </c>
      <c r="B50" s="90" t="s">
        <v>128</v>
      </c>
      <c r="C50" s="91">
        <v>1352.807</v>
      </c>
      <c r="D50" s="90">
        <v>24.706</v>
      </c>
      <c r="E50" s="80">
        <v>233</v>
      </c>
      <c r="F50" s="81">
        <f t="shared" si="1"/>
        <v>5756.498</v>
      </c>
    </row>
    <row r="51" spans="1:6">
      <c r="A51" s="86">
        <v>49</v>
      </c>
      <c r="B51" s="91" t="s">
        <v>129</v>
      </c>
      <c r="C51" s="91">
        <v>1380.537</v>
      </c>
      <c r="D51" s="91">
        <v>27.73</v>
      </c>
      <c r="E51" s="80">
        <v>233</v>
      </c>
      <c r="F51" s="81">
        <f t="shared" si="1"/>
        <v>6461.09</v>
      </c>
    </row>
    <row r="52" spans="1:6">
      <c r="A52" s="86">
        <v>50</v>
      </c>
      <c r="B52" s="91" t="s">
        <v>130</v>
      </c>
      <c r="C52" s="91">
        <v>1410</v>
      </c>
      <c r="D52" s="91">
        <v>29.463</v>
      </c>
      <c r="E52" s="80">
        <v>233</v>
      </c>
      <c r="F52" s="81">
        <f t="shared" si="1"/>
        <v>6864.879</v>
      </c>
    </row>
    <row r="53" spans="1:6">
      <c r="A53" s="86">
        <v>51</v>
      </c>
      <c r="B53" s="92" t="s">
        <v>131</v>
      </c>
      <c r="C53" s="92">
        <v>1424.89</v>
      </c>
      <c r="D53" s="92">
        <v>14.89</v>
      </c>
      <c r="E53" s="80">
        <v>233</v>
      </c>
      <c r="F53" s="81">
        <f t="shared" si="1"/>
        <v>3469.37</v>
      </c>
    </row>
    <row r="54" spans="1:6">
      <c r="A54" s="86">
        <v>52</v>
      </c>
      <c r="B54" s="92" t="s">
        <v>132</v>
      </c>
      <c r="C54" s="92">
        <v>1439.89</v>
      </c>
      <c r="D54" s="92">
        <v>15</v>
      </c>
      <c r="E54" s="80">
        <v>233</v>
      </c>
      <c r="F54" s="81">
        <f t="shared" si="1"/>
        <v>3495</v>
      </c>
    </row>
    <row r="55" spans="1:6">
      <c r="A55" s="86">
        <v>53</v>
      </c>
      <c r="B55" s="92" t="s">
        <v>133</v>
      </c>
      <c r="C55" s="92">
        <v>1468.155</v>
      </c>
      <c r="D55" s="92">
        <v>28.265</v>
      </c>
      <c r="E55" s="80">
        <v>233</v>
      </c>
      <c r="F55" s="81">
        <f t="shared" si="1"/>
        <v>6585.745</v>
      </c>
    </row>
    <row r="56" spans="1:6">
      <c r="A56" s="86">
        <v>54</v>
      </c>
      <c r="B56" s="92" t="s">
        <v>134</v>
      </c>
      <c r="C56" s="92">
        <v>1490.9</v>
      </c>
      <c r="D56" s="92">
        <v>22.745</v>
      </c>
      <c r="E56" s="80">
        <v>233</v>
      </c>
      <c r="F56" s="81">
        <f t="shared" si="1"/>
        <v>5299.585</v>
      </c>
    </row>
    <row r="57" spans="1:6">
      <c r="A57" s="86">
        <v>55</v>
      </c>
      <c r="B57" s="92" t="s">
        <v>135</v>
      </c>
      <c r="C57" s="92">
        <v>1530.95</v>
      </c>
      <c r="D57" s="92">
        <v>40.05</v>
      </c>
      <c r="E57" s="80">
        <v>233</v>
      </c>
      <c r="F57" s="81">
        <f t="shared" si="1"/>
        <v>9331.65</v>
      </c>
    </row>
    <row r="58" spans="1:6">
      <c r="A58" s="86">
        <v>56</v>
      </c>
      <c r="B58" s="92" t="s">
        <v>136</v>
      </c>
      <c r="C58" s="92">
        <v>1557.233</v>
      </c>
      <c r="D58" s="92">
        <v>26.242</v>
      </c>
      <c r="E58" s="80">
        <v>233</v>
      </c>
      <c r="F58" s="81">
        <f t="shared" si="1"/>
        <v>6114.386</v>
      </c>
    </row>
    <row r="59" spans="1:6">
      <c r="A59" s="86">
        <v>57</v>
      </c>
      <c r="B59" s="92" t="s">
        <v>137</v>
      </c>
      <c r="C59" s="92">
        <v>1587.481</v>
      </c>
      <c r="D59" s="92">
        <v>30.248</v>
      </c>
      <c r="E59" s="80">
        <v>233</v>
      </c>
      <c r="F59" s="81">
        <f t="shared" si="1"/>
        <v>7047.784</v>
      </c>
    </row>
    <row r="60" spans="1:6">
      <c r="A60" s="86">
        <v>58</v>
      </c>
      <c r="B60" s="92" t="s">
        <v>138</v>
      </c>
      <c r="C60" s="92">
        <v>1623.188</v>
      </c>
      <c r="D60" s="92">
        <v>35.707</v>
      </c>
      <c r="E60" s="80">
        <v>233</v>
      </c>
      <c r="F60" s="81">
        <f t="shared" si="1"/>
        <v>8319.731</v>
      </c>
    </row>
    <row r="61" spans="1:6">
      <c r="A61" s="86">
        <v>59</v>
      </c>
      <c r="B61" s="92" t="s">
        <v>139</v>
      </c>
      <c r="C61" s="92">
        <v>1663.29</v>
      </c>
      <c r="D61" s="92">
        <v>40.102</v>
      </c>
      <c r="E61" s="80">
        <v>233</v>
      </c>
      <c r="F61" s="81">
        <f t="shared" si="1"/>
        <v>9343.766</v>
      </c>
    </row>
    <row r="62" spans="1:6">
      <c r="A62" s="93">
        <v>60</v>
      </c>
      <c r="B62" s="93" t="s">
        <v>140</v>
      </c>
      <c r="C62" s="93">
        <v>1696.72</v>
      </c>
      <c r="D62" s="93">
        <v>30.798</v>
      </c>
      <c r="E62" s="93">
        <v>191</v>
      </c>
      <c r="F62" s="94">
        <f t="shared" si="1"/>
        <v>5882.418</v>
      </c>
    </row>
    <row r="63" spans="1:6">
      <c r="A63" s="86">
        <v>61</v>
      </c>
      <c r="B63" s="95" t="s">
        <v>141</v>
      </c>
      <c r="C63" s="96">
        <v>1709.141</v>
      </c>
      <c r="D63" s="97">
        <v>12.48</v>
      </c>
      <c r="E63" s="93">
        <v>191</v>
      </c>
      <c r="F63" s="94">
        <f t="shared" ref="F63:F69" si="2">D63*E63</f>
        <v>2383.68</v>
      </c>
    </row>
    <row r="64" spans="1:6">
      <c r="A64" s="86">
        <v>62</v>
      </c>
      <c r="B64" s="95" t="s">
        <v>142</v>
      </c>
      <c r="C64" s="96">
        <v>1726.7</v>
      </c>
      <c r="D64" s="97">
        <v>16.47</v>
      </c>
      <c r="E64" s="93">
        <v>191</v>
      </c>
      <c r="F64" s="94">
        <f t="shared" si="2"/>
        <v>3145.77</v>
      </c>
    </row>
    <row r="65" spans="1:6">
      <c r="A65" s="86">
        <v>63</v>
      </c>
      <c r="B65" s="99" t="s">
        <v>143</v>
      </c>
      <c r="C65" s="96">
        <v>1754.6</v>
      </c>
      <c r="D65" s="97">
        <v>43.69</v>
      </c>
      <c r="E65" s="93">
        <v>191</v>
      </c>
      <c r="F65" s="94">
        <f t="shared" si="2"/>
        <v>8344.79</v>
      </c>
    </row>
    <row r="66" spans="1:6">
      <c r="A66" s="86">
        <v>64</v>
      </c>
      <c r="B66" s="99" t="s">
        <v>144</v>
      </c>
      <c r="C66" s="96">
        <v>1781</v>
      </c>
      <c r="D66" s="97">
        <f>C66-C65</f>
        <v>26.4000000000001</v>
      </c>
      <c r="E66" s="93">
        <v>191</v>
      </c>
      <c r="F66" s="94">
        <f t="shared" si="2"/>
        <v>5042.40000000002</v>
      </c>
    </row>
    <row r="67" spans="1:6">
      <c r="A67" s="86">
        <v>65</v>
      </c>
      <c r="B67" s="99" t="s">
        <v>22</v>
      </c>
      <c r="C67" s="96">
        <v>1809.17</v>
      </c>
      <c r="D67" s="97">
        <f>C67-C66</f>
        <v>28.1700000000001</v>
      </c>
      <c r="E67" s="93">
        <v>191</v>
      </c>
      <c r="F67" s="94">
        <f t="shared" si="2"/>
        <v>5380.47000000001</v>
      </c>
    </row>
    <row r="68" spans="1:6">
      <c r="A68" s="86">
        <v>66</v>
      </c>
      <c r="B68" s="99" t="s">
        <v>16</v>
      </c>
      <c r="C68" s="96">
        <v>1837.9</v>
      </c>
      <c r="D68" s="96">
        <f>C68-C67</f>
        <v>28.73</v>
      </c>
      <c r="E68" s="93">
        <v>191</v>
      </c>
      <c r="F68" s="94">
        <f t="shared" si="2"/>
        <v>5487.43</v>
      </c>
    </row>
    <row r="69" spans="1:8">
      <c r="A69" s="86">
        <v>67</v>
      </c>
      <c r="B69" s="99" t="s">
        <v>17</v>
      </c>
      <c r="C69" s="96">
        <v>1842.35</v>
      </c>
      <c r="D69" s="100"/>
      <c r="E69" s="93">
        <v>191</v>
      </c>
      <c r="F69" s="94">
        <f t="shared" si="2"/>
        <v>0</v>
      </c>
      <c r="H69">
        <f>C63-C62</f>
        <v>12.421</v>
      </c>
    </row>
    <row r="70" spans="8:8">
      <c r="H70">
        <f>C64-C63</f>
        <v>17.559</v>
      </c>
    </row>
    <row r="71" spans="1:8">
      <c r="A71" s="101"/>
      <c r="B71" s="101"/>
      <c r="C71" s="101"/>
      <c r="D71" s="101"/>
      <c r="E71" s="101"/>
      <c r="F71" s="101"/>
      <c r="H71">
        <f>C65-C64</f>
        <v>27.8999999999999</v>
      </c>
    </row>
    <row r="72" spans="1:6">
      <c r="A72" s="101"/>
      <c r="B72" s="101"/>
      <c r="C72" s="101"/>
      <c r="D72" s="101"/>
      <c r="E72" s="101"/>
      <c r="F72" s="101"/>
    </row>
    <row r="73" spans="1:6">
      <c r="A73" s="101"/>
      <c r="B73" s="101"/>
      <c r="C73" s="101"/>
      <c r="D73" s="101"/>
      <c r="E73" s="101"/>
      <c r="F73" s="101"/>
    </row>
    <row r="74" spans="1:6">
      <c r="A74" s="101"/>
      <c r="B74" s="101"/>
      <c r="C74" s="101"/>
      <c r="D74" s="101">
        <f>C63-C62</f>
        <v>12.421</v>
      </c>
      <c r="E74" s="101"/>
      <c r="F74" s="101"/>
    </row>
    <row r="75" spans="1:6">
      <c r="A75" s="101"/>
      <c r="B75" s="101"/>
      <c r="C75" s="101"/>
      <c r="D75" s="101">
        <f>C64-C63</f>
        <v>17.559</v>
      </c>
      <c r="E75" s="101"/>
      <c r="F75" s="101"/>
    </row>
    <row r="76" spans="1:6">
      <c r="A76" s="101"/>
      <c r="B76" s="101"/>
      <c r="C76" s="101"/>
      <c r="D76" s="101"/>
      <c r="E76" s="101"/>
      <c r="F76" s="101"/>
    </row>
    <row r="77" spans="1:6">
      <c r="A77" s="101"/>
      <c r="B77" s="101"/>
      <c r="C77" s="101"/>
      <c r="D77" s="101"/>
      <c r="E77" s="101"/>
      <c r="F77" s="101"/>
    </row>
    <row r="78" spans="1:6">
      <c r="A78" s="101"/>
      <c r="B78" s="101"/>
      <c r="C78" s="101"/>
      <c r="D78" s="101"/>
      <c r="E78" s="101"/>
      <c r="F78" s="101"/>
    </row>
    <row r="79" spans="1:6">
      <c r="A79" s="101"/>
      <c r="B79" s="101"/>
      <c r="C79" s="101"/>
      <c r="D79" s="101"/>
      <c r="E79" s="101"/>
      <c r="F79" s="101"/>
    </row>
    <row r="80" spans="1:6">
      <c r="A80" s="101"/>
      <c r="B80" s="101"/>
      <c r="C80" s="101"/>
      <c r="D80" s="101"/>
      <c r="E80" s="101"/>
      <c r="F80" s="101"/>
    </row>
    <row r="81" spans="1:6">
      <c r="A81" s="101"/>
      <c r="B81" s="101"/>
      <c r="C81" s="101"/>
      <c r="D81" s="101"/>
      <c r="E81" s="101"/>
      <c r="F81" s="101"/>
    </row>
    <row r="82" spans="1:6">
      <c r="A82" s="101"/>
      <c r="B82" s="101"/>
      <c r="C82" s="101"/>
      <c r="D82" s="101"/>
      <c r="E82" s="101"/>
      <c r="F82" s="101"/>
    </row>
    <row r="83" spans="1:6">
      <c r="A83" s="101"/>
      <c r="B83" s="101"/>
      <c r="C83" s="101"/>
      <c r="D83" s="101"/>
      <c r="E83" s="101"/>
      <c r="F83" s="101"/>
    </row>
    <row r="84" spans="1:6">
      <c r="A84" s="101"/>
      <c r="B84" s="101"/>
      <c r="C84" s="101"/>
      <c r="D84" s="101"/>
      <c r="E84" s="101"/>
      <c r="F84" s="101"/>
    </row>
    <row r="85" spans="1:6">
      <c r="A85" s="101"/>
      <c r="B85" s="101"/>
      <c r="C85" s="101"/>
      <c r="D85" s="101"/>
      <c r="E85" s="101"/>
      <c r="F85" s="101"/>
    </row>
    <row r="86" spans="1:6">
      <c r="A86" s="101"/>
      <c r="B86" s="101"/>
      <c r="C86" s="101"/>
      <c r="D86" s="101"/>
      <c r="E86" s="101"/>
      <c r="F86" s="101"/>
    </row>
    <row r="87" spans="1:6">
      <c r="A87" s="101"/>
      <c r="B87" s="101"/>
      <c r="C87" s="101"/>
      <c r="D87" s="101"/>
      <c r="E87" s="101"/>
      <c r="F87" s="101"/>
    </row>
    <row r="88" spans="1:6">
      <c r="A88" s="101"/>
      <c r="B88" s="101"/>
      <c r="C88" s="101"/>
      <c r="D88" s="101"/>
      <c r="E88" s="101"/>
      <c r="F88" s="101"/>
    </row>
    <row r="89" spans="1:6">
      <c r="A89" s="101"/>
      <c r="B89" s="101"/>
      <c r="C89" s="101"/>
      <c r="D89" s="101"/>
      <c r="E89" s="101"/>
      <c r="F89" s="101"/>
    </row>
    <row r="90" spans="1:6">
      <c r="A90" s="101"/>
      <c r="B90" s="101"/>
      <c r="C90" s="101"/>
      <c r="D90" s="101"/>
      <c r="E90" s="101"/>
      <c r="F90" s="101"/>
    </row>
    <row r="91" spans="1:6">
      <c r="A91" s="101"/>
      <c r="B91" s="101"/>
      <c r="C91" s="101"/>
      <c r="D91" s="101"/>
      <c r="E91" s="101"/>
      <c r="F91" s="101"/>
    </row>
    <row r="92" spans="1:6">
      <c r="A92" s="101"/>
      <c r="B92" s="101"/>
      <c r="C92" s="101"/>
      <c r="D92" s="101"/>
      <c r="E92" s="101"/>
      <c r="F92" s="101"/>
    </row>
    <row r="93" spans="1:6">
      <c r="A93" s="101"/>
      <c r="B93" s="101"/>
      <c r="C93" s="101"/>
      <c r="D93" s="101"/>
      <c r="E93" s="101"/>
      <c r="F93" s="101"/>
    </row>
    <row r="94" spans="1:6">
      <c r="A94" s="101"/>
      <c r="B94" s="101"/>
      <c r="C94" s="101"/>
      <c r="D94" s="101"/>
      <c r="E94" s="101"/>
      <c r="F94" s="101"/>
    </row>
    <row r="95" spans="1:6">
      <c r="A95" s="101"/>
      <c r="B95" s="101"/>
      <c r="C95" s="101"/>
      <c r="D95" s="101"/>
      <c r="E95" s="101"/>
      <c r="F95" s="101"/>
    </row>
    <row r="96" spans="1:6">
      <c r="A96" s="101"/>
      <c r="B96" s="101"/>
      <c r="C96" s="101"/>
      <c r="D96" s="101"/>
      <c r="E96" s="101"/>
      <c r="F96" s="101"/>
    </row>
    <row r="97" spans="1:6">
      <c r="A97" s="101"/>
      <c r="B97" s="101"/>
      <c r="C97" s="101"/>
      <c r="D97" s="101"/>
      <c r="E97" s="101"/>
      <c r="F97" s="101"/>
    </row>
    <row r="98" spans="1:6">
      <c r="A98" s="101"/>
      <c r="B98" s="101"/>
      <c r="C98" s="101"/>
      <c r="D98" s="101"/>
      <c r="E98" s="101"/>
      <c r="F98" s="101"/>
    </row>
    <row r="99" spans="1:6">
      <c r="A99" s="101"/>
      <c r="B99" s="101"/>
      <c r="C99" s="101"/>
      <c r="D99" s="101"/>
      <c r="E99" s="101"/>
      <c r="F99" s="101"/>
    </row>
    <row r="100" spans="1:6">
      <c r="A100" s="101"/>
      <c r="B100" s="101"/>
      <c r="C100" s="101"/>
      <c r="D100" s="101"/>
      <c r="E100" s="101"/>
      <c r="F100" s="101"/>
    </row>
    <row r="101" spans="1:6">
      <c r="A101" s="101"/>
      <c r="B101" s="101"/>
      <c r="C101" s="101"/>
      <c r="D101" s="101"/>
      <c r="E101" s="101"/>
      <c r="F101" s="101"/>
    </row>
    <row r="102" spans="1:6">
      <c r="A102" s="101"/>
      <c r="B102" s="101"/>
      <c r="C102" s="101"/>
      <c r="D102" s="101"/>
      <c r="E102" s="101"/>
      <c r="F102" s="101"/>
    </row>
    <row r="103" spans="1:6">
      <c r="A103" s="101"/>
      <c r="B103" s="101"/>
      <c r="C103" s="101"/>
      <c r="D103" s="101"/>
      <c r="E103" s="101"/>
      <c r="F103" s="101"/>
    </row>
    <row r="104" spans="1:6">
      <c r="A104" s="101"/>
      <c r="B104" s="101"/>
      <c r="C104" s="101"/>
      <c r="D104" s="101"/>
      <c r="E104" s="101"/>
      <c r="F104" s="101"/>
    </row>
    <row r="105" spans="1:6">
      <c r="A105" s="101"/>
      <c r="B105" s="101"/>
      <c r="C105" s="101"/>
      <c r="D105" s="101"/>
      <c r="E105" s="101"/>
      <c r="F105" s="101"/>
    </row>
    <row r="106" spans="1:6">
      <c r="A106" s="101"/>
      <c r="B106" s="101"/>
      <c r="C106" s="101"/>
      <c r="D106" s="101"/>
      <c r="E106" s="101"/>
      <c r="F106" s="101"/>
    </row>
    <row r="107" spans="1:6">
      <c r="A107" s="101"/>
      <c r="B107" s="101"/>
      <c r="C107" s="101"/>
      <c r="D107" s="101"/>
      <c r="E107" s="101"/>
      <c r="F107" s="101"/>
    </row>
    <row r="108" spans="1:6">
      <c r="A108" s="101"/>
      <c r="B108" s="101"/>
      <c r="C108" s="101"/>
      <c r="D108" s="101"/>
      <c r="E108" s="101"/>
      <c r="F108" s="101"/>
    </row>
    <row r="109" spans="1:6">
      <c r="A109" s="101"/>
      <c r="B109" s="101"/>
      <c r="C109" s="101"/>
      <c r="D109" s="101"/>
      <c r="E109" s="101"/>
      <c r="F109" s="101"/>
    </row>
    <row r="110" spans="1:6">
      <c r="A110" s="101"/>
      <c r="B110" s="101"/>
      <c r="C110" s="101"/>
      <c r="D110" s="101"/>
      <c r="E110" s="101"/>
      <c r="F110" s="101"/>
    </row>
    <row r="111" spans="1:6">
      <c r="A111" s="101"/>
      <c r="B111" s="101"/>
      <c r="C111" s="101"/>
      <c r="D111" s="101"/>
      <c r="E111" s="101"/>
      <c r="F111" s="101"/>
    </row>
    <row r="112" spans="1:6">
      <c r="A112" s="101"/>
      <c r="B112" s="101"/>
      <c r="C112" s="101"/>
      <c r="D112" s="101"/>
      <c r="E112" s="101"/>
      <c r="F112" s="101"/>
    </row>
    <row r="113" spans="1:6">
      <c r="A113" s="101"/>
      <c r="B113" s="101"/>
      <c r="C113" s="101"/>
      <c r="D113" s="101"/>
      <c r="E113" s="101"/>
      <c r="F113" s="101"/>
    </row>
    <row r="114" spans="1:6">
      <c r="A114" s="101"/>
      <c r="B114" s="101"/>
      <c r="C114" s="101"/>
      <c r="D114" s="101"/>
      <c r="E114" s="101"/>
      <c r="F114" s="101"/>
    </row>
  </sheetData>
  <mergeCells count="1">
    <mergeCell ref="A1:F1"/>
  </mergeCells>
  <pageMargins left="0.699305555555556" right="0.699305555555556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F40"/>
  <sheetViews>
    <sheetView workbookViewId="0">
      <selection activeCell="G12" sqref="G12"/>
    </sheetView>
  </sheetViews>
  <sheetFormatPr defaultColWidth="9" defaultRowHeight="15" outlineLevelCol="5"/>
  <cols>
    <col min="2" max="2" width="16.25" customWidth="1"/>
    <col min="3" max="3" width="13.125" customWidth="1"/>
    <col min="4" max="4" width="16.5" customWidth="1"/>
    <col min="5" max="5" width="12.625" customWidth="1"/>
    <col min="6" max="6" width="12" customWidth="1"/>
  </cols>
  <sheetData>
    <row r="1" ht="30" customHeight="1" spans="1:6">
      <c r="A1" s="62" t="s">
        <v>183</v>
      </c>
      <c r="B1" s="63"/>
      <c r="C1" s="63"/>
      <c r="D1" s="63"/>
      <c r="E1" s="63"/>
      <c r="F1" s="63"/>
    </row>
    <row r="2" ht="54" customHeight="1" spans="1:6">
      <c r="A2" s="64" t="s">
        <v>1</v>
      </c>
      <c r="B2" s="64" t="s">
        <v>148</v>
      </c>
      <c r="C2" s="64" t="s">
        <v>184</v>
      </c>
      <c r="D2" s="64" t="s">
        <v>79</v>
      </c>
      <c r="E2" s="64" t="s">
        <v>150</v>
      </c>
      <c r="F2" s="64" t="s">
        <v>81</v>
      </c>
    </row>
    <row r="3" ht="18" spans="1:6">
      <c r="A3" s="69">
        <v>1</v>
      </c>
      <c r="B3" s="70" t="s">
        <v>27</v>
      </c>
      <c r="C3" s="67">
        <v>0</v>
      </c>
      <c r="D3" s="67">
        <v>0</v>
      </c>
      <c r="E3" s="65" t="s">
        <v>185</v>
      </c>
      <c r="F3" s="69"/>
    </row>
    <row r="4" ht="18" spans="1:6">
      <c r="A4" s="69">
        <v>2</v>
      </c>
      <c r="B4" s="70" t="s">
        <v>186</v>
      </c>
      <c r="C4" s="67">
        <v>4.6</v>
      </c>
      <c r="D4" s="67">
        <f>C4-C3</f>
        <v>4.6</v>
      </c>
      <c r="E4" s="65" t="s">
        <v>185</v>
      </c>
      <c r="F4" s="69"/>
    </row>
    <row r="5" ht="18" spans="1:6">
      <c r="A5" s="69">
        <v>3</v>
      </c>
      <c r="B5" s="70" t="s">
        <v>187</v>
      </c>
      <c r="C5" s="67">
        <v>7.7</v>
      </c>
      <c r="D5" s="67">
        <f t="shared" ref="D5:D24" si="0">C5-C4</f>
        <v>3.1</v>
      </c>
      <c r="E5" s="65" t="s">
        <v>185</v>
      </c>
      <c r="F5" s="69"/>
    </row>
    <row r="6" ht="18" spans="1:6">
      <c r="A6" s="69">
        <v>4</v>
      </c>
      <c r="B6" s="70" t="s">
        <v>188</v>
      </c>
      <c r="C6" s="67">
        <v>13.1</v>
      </c>
      <c r="D6" s="67">
        <f t="shared" si="0"/>
        <v>5.4</v>
      </c>
      <c r="E6" s="65" t="s">
        <v>185</v>
      </c>
      <c r="F6" s="69"/>
    </row>
    <row r="7" ht="18" spans="1:6">
      <c r="A7" s="69">
        <v>5</v>
      </c>
      <c r="B7" s="70" t="s">
        <v>189</v>
      </c>
      <c r="C7" s="67">
        <v>36.2</v>
      </c>
      <c r="D7" s="67">
        <f t="shared" si="0"/>
        <v>23.1</v>
      </c>
      <c r="E7" s="65" t="s">
        <v>185</v>
      </c>
      <c r="F7" s="69"/>
    </row>
    <row r="8" ht="18" spans="1:6">
      <c r="A8" s="69">
        <v>6</v>
      </c>
      <c r="B8" s="70" t="s">
        <v>190</v>
      </c>
      <c r="C8" s="67">
        <v>68.5</v>
      </c>
      <c r="D8" s="67">
        <f t="shared" si="0"/>
        <v>32.3</v>
      </c>
      <c r="E8" s="65" t="s">
        <v>185</v>
      </c>
      <c r="F8" s="69"/>
    </row>
    <row r="9" ht="18" spans="1:6">
      <c r="A9" s="69">
        <v>7</v>
      </c>
      <c r="B9" s="70" t="s">
        <v>24</v>
      </c>
      <c r="C9" s="67">
        <v>93.8</v>
      </c>
      <c r="D9" s="67">
        <f t="shared" si="0"/>
        <v>25.3</v>
      </c>
      <c r="E9" s="65" t="s">
        <v>185</v>
      </c>
      <c r="F9" s="69"/>
    </row>
    <row r="10" ht="18" spans="1:6">
      <c r="A10" s="69">
        <v>8</v>
      </c>
      <c r="B10" s="71" t="s">
        <v>191</v>
      </c>
      <c r="C10" s="67">
        <v>103.8</v>
      </c>
      <c r="D10" s="67">
        <f t="shared" si="0"/>
        <v>10</v>
      </c>
      <c r="E10" s="65" t="s">
        <v>185</v>
      </c>
      <c r="F10" s="69"/>
    </row>
    <row r="11" ht="18" spans="1:6">
      <c r="A11" s="69">
        <v>9</v>
      </c>
      <c r="B11" s="70" t="s">
        <v>192</v>
      </c>
      <c r="C11" s="67">
        <v>133.3</v>
      </c>
      <c r="D11" s="67">
        <f t="shared" si="0"/>
        <v>29.5</v>
      </c>
      <c r="E11" s="65" t="s">
        <v>185</v>
      </c>
      <c r="F11" s="69"/>
    </row>
    <row r="12" ht="18" spans="1:6">
      <c r="A12" s="69">
        <v>10</v>
      </c>
      <c r="B12" s="70" t="s">
        <v>193</v>
      </c>
      <c r="C12" s="67">
        <v>140.4</v>
      </c>
      <c r="D12" s="67">
        <f t="shared" si="0"/>
        <v>7.09999999999999</v>
      </c>
      <c r="E12" s="65" t="s">
        <v>185</v>
      </c>
      <c r="F12" s="69"/>
    </row>
    <row r="13" ht="18" spans="1:6">
      <c r="A13" s="69">
        <v>11</v>
      </c>
      <c r="B13" s="70" t="s">
        <v>194</v>
      </c>
      <c r="C13" s="67">
        <v>146.7</v>
      </c>
      <c r="D13" s="67">
        <f t="shared" si="0"/>
        <v>6.29999999999998</v>
      </c>
      <c r="E13" s="65" t="s">
        <v>185</v>
      </c>
      <c r="F13" s="69"/>
    </row>
    <row r="14" ht="18" spans="1:6">
      <c r="A14" s="69">
        <v>12</v>
      </c>
      <c r="B14" s="71" t="s">
        <v>195</v>
      </c>
      <c r="C14" s="67">
        <v>172.2</v>
      </c>
      <c r="D14" s="67">
        <f t="shared" si="0"/>
        <v>25.5</v>
      </c>
      <c r="E14" s="65" t="s">
        <v>185</v>
      </c>
      <c r="F14" s="69"/>
    </row>
    <row r="15" ht="18" spans="1:6">
      <c r="A15" s="69">
        <v>13</v>
      </c>
      <c r="B15" s="70" t="s">
        <v>25</v>
      </c>
      <c r="C15" s="67">
        <v>196.4</v>
      </c>
      <c r="D15" s="67">
        <f t="shared" si="0"/>
        <v>24.2</v>
      </c>
      <c r="E15" s="65" t="s">
        <v>185</v>
      </c>
      <c r="F15" s="69"/>
    </row>
    <row r="16" ht="18" spans="1:6">
      <c r="A16" s="69">
        <v>14</v>
      </c>
      <c r="B16" s="71" t="s">
        <v>196</v>
      </c>
      <c r="C16" s="67">
        <v>207.2</v>
      </c>
      <c r="D16" s="67">
        <f t="shared" si="0"/>
        <v>10.8</v>
      </c>
      <c r="E16" s="65" t="s">
        <v>185</v>
      </c>
      <c r="F16" s="69"/>
    </row>
    <row r="17" ht="18" spans="1:6">
      <c r="A17" s="69">
        <v>15</v>
      </c>
      <c r="B17" s="70" t="s">
        <v>197</v>
      </c>
      <c r="C17" s="67">
        <v>219.8</v>
      </c>
      <c r="D17" s="67">
        <f t="shared" si="0"/>
        <v>12.6</v>
      </c>
      <c r="E17" s="65" t="s">
        <v>185</v>
      </c>
      <c r="F17" s="69"/>
    </row>
    <row r="18" ht="18" spans="1:6">
      <c r="A18" s="69">
        <v>16</v>
      </c>
      <c r="B18" s="71" t="s">
        <v>198</v>
      </c>
      <c r="C18" s="67">
        <v>229</v>
      </c>
      <c r="D18" s="67">
        <f t="shared" si="0"/>
        <v>9.19999999999999</v>
      </c>
      <c r="E18" s="65" t="s">
        <v>185</v>
      </c>
      <c r="F18" s="69"/>
    </row>
    <row r="19" ht="18" spans="1:6">
      <c r="A19" s="69">
        <v>17</v>
      </c>
      <c r="B19" s="71" t="s">
        <v>199</v>
      </c>
      <c r="C19" s="67">
        <v>240.4</v>
      </c>
      <c r="D19" s="67">
        <f t="shared" si="0"/>
        <v>11.4</v>
      </c>
      <c r="E19" s="65" t="s">
        <v>185</v>
      </c>
      <c r="F19" s="69"/>
    </row>
    <row r="20" ht="18" spans="1:6">
      <c r="A20" s="69">
        <v>18</v>
      </c>
      <c r="B20" s="70" t="s">
        <v>200</v>
      </c>
      <c r="C20" s="67">
        <v>252.9</v>
      </c>
      <c r="D20" s="67">
        <f t="shared" si="0"/>
        <v>12.5</v>
      </c>
      <c r="E20" s="65" t="s">
        <v>185</v>
      </c>
      <c r="F20" s="69"/>
    </row>
    <row r="21" ht="18" spans="1:6">
      <c r="A21" s="69">
        <v>19</v>
      </c>
      <c r="B21" s="71" t="s">
        <v>201</v>
      </c>
      <c r="C21" s="67">
        <v>276.3</v>
      </c>
      <c r="D21" s="67">
        <f t="shared" si="0"/>
        <v>23.4</v>
      </c>
      <c r="E21" s="65" t="s">
        <v>185</v>
      </c>
      <c r="F21" s="69"/>
    </row>
    <row r="22" ht="18" spans="1:6">
      <c r="A22" s="69">
        <v>20</v>
      </c>
      <c r="B22" s="70" t="s">
        <v>202</v>
      </c>
      <c r="C22" s="67">
        <v>288.6</v>
      </c>
      <c r="D22" s="67">
        <f t="shared" si="0"/>
        <v>12.3</v>
      </c>
      <c r="E22" s="65" t="s">
        <v>185</v>
      </c>
      <c r="F22" s="69"/>
    </row>
    <row r="23" ht="18" spans="1:6">
      <c r="A23" s="69">
        <v>21</v>
      </c>
      <c r="B23" s="71" t="s">
        <v>203</v>
      </c>
      <c r="C23" s="67">
        <v>310.6</v>
      </c>
      <c r="D23" s="67">
        <f t="shared" si="0"/>
        <v>22</v>
      </c>
      <c r="E23" s="65" t="s">
        <v>185</v>
      </c>
      <c r="F23" s="69"/>
    </row>
    <row r="24" ht="18" spans="1:6">
      <c r="A24" s="69">
        <v>22</v>
      </c>
      <c r="B24" s="70" t="s">
        <v>204</v>
      </c>
      <c r="C24" s="67">
        <v>332.5</v>
      </c>
      <c r="D24" s="67">
        <f t="shared" si="0"/>
        <v>21.9</v>
      </c>
      <c r="E24" s="65" t="s">
        <v>185</v>
      </c>
      <c r="F24" s="69"/>
    </row>
    <row r="25" ht="18" spans="1:6">
      <c r="A25" s="69">
        <v>23</v>
      </c>
      <c r="B25" s="70" t="s">
        <v>205</v>
      </c>
      <c r="C25" s="67">
        <v>348.8</v>
      </c>
      <c r="D25" s="67">
        <f t="shared" ref="D25:D47" si="1">C25-C24</f>
        <v>16.3</v>
      </c>
      <c r="E25" s="65" t="s">
        <v>185</v>
      </c>
      <c r="F25" s="69"/>
    </row>
    <row r="26" ht="18" spans="1:6">
      <c r="A26" s="69">
        <v>24</v>
      </c>
      <c r="B26" s="70" t="s">
        <v>206</v>
      </c>
      <c r="C26" s="67">
        <v>351.7</v>
      </c>
      <c r="D26" s="67">
        <f t="shared" si="1"/>
        <v>2.89999999999998</v>
      </c>
      <c r="E26" s="65" t="s">
        <v>185</v>
      </c>
      <c r="F26" s="69"/>
    </row>
    <row r="27" ht="18" spans="1:6">
      <c r="A27" s="69">
        <v>25</v>
      </c>
      <c r="B27" s="70" t="s">
        <v>207</v>
      </c>
      <c r="C27" s="67">
        <v>369.3</v>
      </c>
      <c r="D27" s="67">
        <f t="shared" si="1"/>
        <v>17.6</v>
      </c>
      <c r="E27" s="65" t="s">
        <v>185</v>
      </c>
      <c r="F27" s="69"/>
    </row>
    <row r="28" ht="18" spans="1:6">
      <c r="A28" s="69">
        <v>26</v>
      </c>
      <c r="B28" s="70" t="s">
        <v>208</v>
      </c>
      <c r="C28" s="67">
        <v>392.1</v>
      </c>
      <c r="D28" s="67">
        <f t="shared" si="1"/>
        <v>22.8</v>
      </c>
      <c r="E28" s="65" t="s">
        <v>185</v>
      </c>
      <c r="F28" s="69"/>
    </row>
    <row r="29" ht="18" spans="1:6">
      <c r="A29" s="69">
        <v>27</v>
      </c>
      <c r="B29" s="70" t="s">
        <v>209</v>
      </c>
      <c r="C29" s="67">
        <v>396.84</v>
      </c>
      <c r="D29" s="67">
        <f t="shared" si="1"/>
        <v>4.73999999999995</v>
      </c>
      <c r="E29" s="65" t="s">
        <v>185</v>
      </c>
      <c r="F29" s="69"/>
    </row>
    <row r="30" ht="18" spans="1:6">
      <c r="A30" s="69">
        <v>28</v>
      </c>
      <c r="B30" s="70" t="s">
        <v>210</v>
      </c>
      <c r="C30" s="67">
        <v>404.61</v>
      </c>
      <c r="D30" s="67">
        <f t="shared" si="1"/>
        <v>7.77000000000004</v>
      </c>
      <c r="E30" s="65" t="s">
        <v>185</v>
      </c>
      <c r="F30" s="69"/>
    </row>
    <row r="31" ht="18" spans="1:6">
      <c r="A31" s="69">
        <v>29</v>
      </c>
      <c r="B31" s="70" t="s">
        <v>211</v>
      </c>
      <c r="C31" s="67">
        <v>420.55</v>
      </c>
      <c r="D31" s="67">
        <f t="shared" si="1"/>
        <v>15.94</v>
      </c>
      <c r="E31" s="65" t="s">
        <v>185</v>
      </c>
      <c r="F31" s="69"/>
    </row>
    <row r="32" ht="18" spans="1:6">
      <c r="A32" s="69">
        <v>30</v>
      </c>
      <c r="B32" s="70" t="s">
        <v>212</v>
      </c>
      <c r="C32" s="67">
        <v>420.95</v>
      </c>
      <c r="D32" s="67">
        <f t="shared" si="1"/>
        <v>0.399999999999977</v>
      </c>
      <c r="E32" s="65" t="s">
        <v>185</v>
      </c>
      <c r="F32" s="69"/>
    </row>
    <row r="33" ht="18" spans="1:6">
      <c r="A33" s="69">
        <v>31</v>
      </c>
      <c r="B33" s="70" t="s">
        <v>213</v>
      </c>
      <c r="C33" s="67">
        <v>451.37</v>
      </c>
      <c r="D33" s="67">
        <f t="shared" si="1"/>
        <v>30.42</v>
      </c>
      <c r="E33" s="65" t="s">
        <v>185</v>
      </c>
      <c r="F33" s="69"/>
    </row>
    <row r="34" ht="18" spans="1:6">
      <c r="A34" s="69">
        <v>32</v>
      </c>
      <c r="B34" s="70" t="s">
        <v>214</v>
      </c>
      <c r="C34" s="67">
        <v>461.54</v>
      </c>
      <c r="D34" s="67">
        <f t="shared" si="1"/>
        <v>10.17</v>
      </c>
      <c r="E34" s="65" t="s">
        <v>185</v>
      </c>
      <c r="F34" s="69"/>
    </row>
    <row r="35" ht="18" spans="1:6">
      <c r="A35" s="69">
        <v>33</v>
      </c>
      <c r="B35" s="70" t="s">
        <v>215</v>
      </c>
      <c r="C35" s="67">
        <v>472.35</v>
      </c>
      <c r="D35" s="67">
        <f t="shared" si="1"/>
        <v>10.81</v>
      </c>
      <c r="E35" s="65" t="s">
        <v>185</v>
      </c>
      <c r="F35" s="69"/>
    </row>
    <row r="36" ht="18" spans="1:6">
      <c r="A36" s="69">
        <v>34</v>
      </c>
      <c r="B36" s="70" t="s">
        <v>216</v>
      </c>
      <c r="C36" s="67">
        <v>504.72</v>
      </c>
      <c r="D36" s="67">
        <f t="shared" si="1"/>
        <v>32.37</v>
      </c>
      <c r="E36" s="65" t="s">
        <v>185</v>
      </c>
      <c r="F36" s="69"/>
    </row>
    <row r="37" ht="18" spans="1:6">
      <c r="A37" s="69">
        <v>35</v>
      </c>
      <c r="B37" s="70" t="s">
        <v>217</v>
      </c>
      <c r="C37" s="67">
        <v>530</v>
      </c>
      <c r="D37" s="67">
        <f t="shared" si="1"/>
        <v>25.28</v>
      </c>
      <c r="E37" s="65" t="s">
        <v>185</v>
      </c>
      <c r="F37" s="69"/>
    </row>
    <row r="38" ht="18" spans="1:6">
      <c r="A38" s="69">
        <v>36</v>
      </c>
      <c r="B38" s="70" t="s">
        <v>218</v>
      </c>
      <c r="C38" s="67">
        <v>537</v>
      </c>
      <c r="D38" s="67">
        <f t="shared" si="1"/>
        <v>7</v>
      </c>
      <c r="E38" s="65" t="s">
        <v>185</v>
      </c>
      <c r="F38" s="69"/>
    </row>
    <row r="39" ht="18" spans="1:6">
      <c r="A39" s="69">
        <v>37</v>
      </c>
      <c r="B39" s="70" t="s">
        <v>219</v>
      </c>
      <c r="C39" s="67">
        <v>564</v>
      </c>
      <c r="D39" s="67">
        <f t="shared" si="1"/>
        <v>27</v>
      </c>
      <c r="E39" s="65" t="s">
        <v>185</v>
      </c>
      <c r="F39" s="69"/>
    </row>
    <row r="40" ht="18" spans="1:6">
      <c r="A40" s="69">
        <v>38</v>
      </c>
      <c r="B40" s="70" t="s">
        <v>172</v>
      </c>
      <c r="C40" s="67">
        <v>589</v>
      </c>
      <c r="D40" s="67">
        <f t="shared" si="1"/>
        <v>25</v>
      </c>
      <c r="E40" s="65" t="s">
        <v>185</v>
      </c>
      <c r="F40" s="69"/>
    </row>
  </sheetData>
  <mergeCells count="1">
    <mergeCell ref="A1:F1"/>
  </mergeCells>
  <pageMargins left="0.699305555555556" right="0.699305555555556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F20"/>
  <sheetViews>
    <sheetView workbookViewId="0">
      <selection activeCell="K24" sqref="K24"/>
    </sheetView>
  </sheetViews>
  <sheetFormatPr defaultColWidth="9" defaultRowHeight="15" outlineLevelCol="5"/>
  <cols>
    <col min="2" max="2" width="21.5" customWidth="1"/>
    <col min="3" max="3" width="13.125" customWidth="1"/>
    <col min="4" max="4" width="16.5" customWidth="1"/>
    <col min="5" max="5" width="12.625" customWidth="1"/>
    <col min="6" max="6" width="12" customWidth="1"/>
  </cols>
  <sheetData>
    <row r="1" ht="30" customHeight="1" spans="1:6">
      <c r="A1" s="62" t="s">
        <v>220</v>
      </c>
      <c r="B1" s="63"/>
      <c r="C1" s="63"/>
      <c r="D1" s="63"/>
      <c r="E1" s="63"/>
      <c r="F1" s="63"/>
    </row>
    <row r="2" ht="54" customHeight="1" spans="1:6">
      <c r="A2" s="64" t="s">
        <v>1</v>
      </c>
      <c r="B2" s="64" t="s">
        <v>148</v>
      </c>
      <c r="C2" s="64" t="s">
        <v>184</v>
      </c>
      <c r="D2" s="64" t="s">
        <v>79</v>
      </c>
      <c r="E2" s="64" t="s">
        <v>150</v>
      </c>
      <c r="F2" s="64" t="s">
        <v>81</v>
      </c>
    </row>
    <row r="3" ht="18" spans="1:6">
      <c r="A3" s="65">
        <v>1</v>
      </c>
      <c r="B3" s="66" t="s">
        <v>27</v>
      </c>
      <c r="C3" s="66">
        <v>0</v>
      </c>
      <c r="D3" s="67">
        <v>0</v>
      </c>
      <c r="E3" s="68">
        <v>292.23</v>
      </c>
      <c r="F3" s="65"/>
    </row>
    <row r="4" ht="18" spans="1:6">
      <c r="A4" s="65">
        <v>2</v>
      </c>
      <c r="B4" s="66" t="s">
        <v>152</v>
      </c>
      <c r="C4" s="66">
        <v>7.4</v>
      </c>
      <c r="D4" s="67">
        <f>C4-C3</f>
        <v>7.4</v>
      </c>
      <c r="E4" s="68">
        <v>292.23</v>
      </c>
      <c r="F4" s="65"/>
    </row>
    <row r="5" ht="18" spans="1:6">
      <c r="A5" s="65">
        <v>3</v>
      </c>
      <c r="B5" s="66" t="s">
        <v>221</v>
      </c>
      <c r="C5" s="66">
        <v>19.17</v>
      </c>
      <c r="D5" s="67">
        <f t="shared" ref="D5:D14" si="0">C5-C4</f>
        <v>11.77</v>
      </c>
      <c r="E5" s="68">
        <v>292.23</v>
      </c>
      <c r="F5" s="65"/>
    </row>
    <row r="6" ht="18" spans="1:6">
      <c r="A6" s="65">
        <v>4</v>
      </c>
      <c r="B6" s="66" t="s">
        <v>222</v>
      </c>
      <c r="C6" s="66">
        <v>26.2</v>
      </c>
      <c r="D6" s="67">
        <f t="shared" si="0"/>
        <v>7.03</v>
      </c>
      <c r="E6" s="68">
        <v>292.23</v>
      </c>
      <c r="F6" s="65"/>
    </row>
    <row r="7" ht="18" spans="1:6">
      <c r="A7" s="65">
        <v>5</v>
      </c>
      <c r="B7" s="66" t="s">
        <v>154</v>
      </c>
      <c r="C7" s="66">
        <v>76.3</v>
      </c>
      <c r="D7" s="67">
        <f t="shared" si="0"/>
        <v>50.1</v>
      </c>
      <c r="E7" s="68">
        <v>292.23</v>
      </c>
      <c r="F7" s="65"/>
    </row>
    <row r="8" ht="18" spans="1:6">
      <c r="A8" s="65">
        <v>6</v>
      </c>
      <c r="B8" s="66" t="s">
        <v>223</v>
      </c>
      <c r="C8" s="66">
        <v>110.4</v>
      </c>
      <c r="D8" s="67">
        <f t="shared" si="0"/>
        <v>34.1</v>
      </c>
      <c r="E8" s="68">
        <v>292.23</v>
      </c>
      <c r="F8" s="65"/>
    </row>
    <row r="9" ht="18" spans="1:6">
      <c r="A9" s="65">
        <v>7</v>
      </c>
      <c r="B9" s="66" t="s">
        <v>224</v>
      </c>
      <c r="C9" s="66">
        <v>124</v>
      </c>
      <c r="D9" s="67">
        <f t="shared" si="0"/>
        <v>13.6</v>
      </c>
      <c r="E9" s="68">
        <v>292.23</v>
      </c>
      <c r="F9" s="65"/>
    </row>
    <row r="10" ht="18" spans="1:6">
      <c r="A10" s="65">
        <v>8</v>
      </c>
      <c r="B10" s="66" t="s">
        <v>28</v>
      </c>
      <c r="C10" s="66">
        <v>143.9</v>
      </c>
      <c r="D10" s="67">
        <f t="shared" si="0"/>
        <v>19.9</v>
      </c>
      <c r="E10" s="68">
        <v>292.23</v>
      </c>
      <c r="F10" s="65"/>
    </row>
    <row r="11" ht="18" spans="1:6">
      <c r="A11" s="65">
        <v>9</v>
      </c>
      <c r="B11" s="66" t="s">
        <v>225</v>
      </c>
      <c r="C11" s="66">
        <v>162.3</v>
      </c>
      <c r="D11" s="67">
        <f t="shared" si="0"/>
        <v>18.4</v>
      </c>
      <c r="E11" s="68">
        <v>292.23</v>
      </c>
      <c r="F11" s="65"/>
    </row>
    <row r="12" ht="18" spans="1:6">
      <c r="A12" s="65">
        <v>10</v>
      </c>
      <c r="B12" s="66" t="s">
        <v>226</v>
      </c>
      <c r="C12" s="66">
        <v>189.2</v>
      </c>
      <c r="D12" s="67">
        <f t="shared" si="0"/>
        <v>26.9</v>
      </c>
      <c r="E12" s="68">
        <v>292.23</v>
      </c>
      <c r="F12" s="65"/>
    </row>
    <row r="13" ht="18" spans="1:6">
      <c r="A13" s="65">
        <v>11</v>
      </c>
      <c r="B13" s="66" t="s">
        <v>227</v>
      </c>
      <c r="C13" s="66">
        <v>214.1</v>
      </c>
      <c r="D13" s="67">
        <f t="shared" si="0"/>
        <v>24.9</v>
      </c>
      <c r="E13" s="68">
        <v>292.23</v>
      </c>
      <c r="F13" s="65"/>
    </row>
    <row r="14" ht="18" spans="1:6">
      <c r="A14" s="65">
        <v>12</v>
      </c>
      <c r="B14" s="66" t="s">
        <v>228</v>
      </c>
      <c r="C14" s="66">
        <v>244.6</v>
      </c>
      <c r="D14" s="67">
        <f t="shared" si="0"/>
        <v>30.5</v>
      </c>
      <c r="E14" s="68">
        <v>292.23</v>
      </c>
      <c r="F14" s="65"/>
    </row>
    <row r="15" ht="18" spans="1:6">
      <c r="A15" s="65">
        <v>13</v>
      </c>
      <c r="B15" s="66" t="s">
        <v>229</v>
      </c>
      <c r="C15" s="66">
        <v>268.3</v>
      </c>
      <c r="D15" s="67">
        <f t="shared" ref="D15:D20" si="1">C15-C14</f>
        <v>23.7</v>
      </c>
      <c r="E15" s="68">
        <v>292.23</v>
      </c>
      <c r="F15" s="65"/>
    </row>
    <row r="16" ht="18" spans="1:6">
      <c r="A16" s="65">
        <v>14</v>
      </c>
      <c r="B16" s="66" t="s">
        <v>230</v>
      </c>
      <c r="C16" s="66">
        <v>288.3</v>
      </c>
      <c r="D16" s="67">
        <f t="shared" si="1"/>
        <v>20</v>
      </c>
      <c r="E16" s="68">
        <v>292.23</v>
      </c>
      <c r="F16" s="65"/>
    </row>
    <row r="17" ht="18" spans="1:6">
      <c r="A17" s="65">
        <v>15</v>
      </c>
      <c r="B17" s="66" t="s">
        <v>231</v>
      </c>
      <c r="C17" s="66">
        <v>307.2</v>
      </c>
      <c r="D17" s="67">
        <f t="shared" si="1"/>
        <v>18.9</v>
      </c>
      <c r="E17" s="68">
        <v>292.23</v>
      </c>
      <c r="F17" s="65"/>
    </row>
    <row r="18" ht="18" spans="1:6">
      <c r="A18" s="65">
        <v>16</v>
      </c>
      <c r="B18" s="66" t="s">
        <v>232</v>
      </c>
      <c r="C18" s="66">
        <v>332.1</v>
      </c>
      <c r="D18" s="67">
        <f t="shared" si="1"/>
        <v>24.9</v>
      </c>
      <c r="E18" s="68">
        <v>292.23</v>
      </c>
      <c r="F18" s="65"/>
    </row>
    <row r="19" ht="18" spans="1:6">
      <c r="A19" s="65">
        <v>17</v>
      </c>
      <c r="B19" s="66" t="s">
        <v>162</v>
      </c>
      <c r="C19" s="66">
        <v>362</v>
      </c>
      <c r="D19" s="67">
        <f t="shared" si="1"/>
        <v>29.9</v>
      </c>
      <c r="E19" s="68">
        <v>292.23</v>
      </c>
      <c r="F19" s="65"/>
    </row>
    <row r="20" ht="18" spans="1:6">
      <c r="A20" s="65">
        <v>18</v>
      </c>
      <c r="B20" s="66" t="s">
        <v>233</v>
      </c>
      <c r="C20" s="66">
        <v>384.6</v>
      </c>
      <c r="D20" s="67">
        <f t="shared" si="1"/>
        <v>22.6</v>
      </c>
      <c r="E20" s="68">
        <v>292.23</v>
      </c>
      <c r="F20" s="65"/>
    </row>
  </sheetData>
  <mergeCells count="1">
    <mergeCell ref="A1:F1"/>
  </mergeCells>
  <pageMargins left="0.699305555555556" right="0.699305555555556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K71"/>
  <sheetViews>
    <sheetView workbookViewId="0">
      <selection activeCell="K24" sqref="K24"/>
    </sheetView>
  </sheetViews>
  <sheetFormatPr defaultColWidth="9" defaultRowHeight="15"/>
  <cols>
    <col min="1" max="1" width="5.25" style="20" customWidth="1"/>
    <col min="2" max="2" width="14.125" style="20" customWidth="1"/>
    <col min="3" max="3" width="17.875" style="20" customWidth="1"/>
    <col min="4" max="4" width="13.875" style="20" customWidth="1"/>
    <col min="5" max="5" width="31.875" style="20" customWidth="1"/>
    <col min="6" max="6" width="12.75" style="20" customWidth="1"/>
    <col min="7" max="7" width="26.875" style="20" customWidth="1"/>
    <col min="8" max="8" width="9" style="20" customWidth="1"/>
    <col min="9" max="9" width="17.25" style="20" customWidth="1"/>
    <col min="10" max="10" width="13.5" style="20" customWidth="1"/>
    <col min="11" max="11" width="10" style="20" customWidth="1"/>
    <col min="12" max="12" width="21.75" style="20" customWidth="1"/>
    <col min="13" max="13" width="12.5" style="20" customWidth="1"/>
    <col min="14" max="16384" width="9" style="20"/>
  </cols>
  <sheetData>
    <row r="1" s="48" customFormat="1" ht="42" customHeight="1" spans="1:7">
      <c r="A1" s="22" t="s">
        <v>234</v>
      </c>
      <c r="B1" s="22"/>
      <c r="C1" s="22"/>
      <c r="D1" s="22"/>
      <c r="E1" s="22"/>
      <c r="F1" s="22"/>
      <c r="G1" s="22"/>
    </row>
    <row r="2" ht="42" spans="1:11">
      <c r="A2" s="23" t="s">
        <v>1</v>
      </c>
      <c r="B2" s="23" t="s">
        <v>235</v>
      </c>
      <c r="C2" s="24" t="s">
        <v>236</v>
      </c>
      <c r="D2" s="25" t="s">
        <v>237</v>
      </c>
      <c r="E2" s="23" t="s">
        <v>238</v>
      </c>
      <c r="F2" s="23" t="s">
        <v>239</v>
      </c>
      <c r="G2" s="26" t="s">
        <v>240</v>
      </c>
      <c r="H2" s="27" t="s">
        <v>241</v>
      </c>
      <c r="I2" s="27" t="s">
        <v>242</v>
      </c>
      <c r="J2" s="27" t="s">
        <v>243</v>
      </c>
      <c r="K2" s="27" t="s">
        <v>244</v>
      </c>
    </row>
    <row r="3" ht="24.95" customHeight="1" spans="1:11">
      <c r="A3" s="23">
        <v>1</v>
      </c>
      <c r="B3" s="23" t="s">
        <v>245</v>
      </c>
      <c r="C3" s="23"/>
      <c r="D3" s="51">
        <v>0</v>
      </c>
      <c r="E3" s="23" t="s">
        <v>246</v>
      </c>
      <c r="F3" s="23" t="s">
        <v>247</v>
      </c>
      <c r="G3" s="23"/>
      <c r="H3" s="27" t="s">
        <v>248</v>
      </c>
      <c r="I3" s="27" t="s">
        <v>249</v>
      </c>
      <c r="J3" s="27" t="s">
        <v>250</v>
      </c>
      <c r="K3" s="27" t="s">
        <v>251</v>
      </c>
    </row>
    <row r="4" ht="24.95" customHeight="1" spans="1:7">
      <c r="A4" s="23">
        <v>2</v>
      </c>
      <c r="B4" s="23" t="s">
        <v>252</v>
      </c>
      <c r="C4" s="23" t="s">
        <v>253</v>
      </c>
      <c r="D4" s="51">
        <v>32</v>
      </c>
      <c r="E4" s="23" t="s">
        <v>246</v>
      </c>
      <c r="F4" s="23" t="s">
        <v>247</v>
      </c>
      <c r="G4" s="43" t="s">
        <v>254</v>
      </c>
    </row>
    <row r="5" ht="24.95" customHeight="1" spans="1:7">
      <c r="A5" s="23">
        <v>3</v>
      </c>
      <c r="B5" s="23" t="s">
        <v>222</v>
      </c>
      <c r="C5" s="23" t="s">
        <v>255</v>
      </c>
      <c r="D5" s="51">
        <v>64</v>
      </c>
      <c r="E5" s="23" t="s">
        <v>246</v>
      </c>
      <c r="F5" s="23" t="s">
        <v>247</v>
      </c>
      <c r="G5" s="43" t="s">
        <v>256</v>
      </c>
    </row>
    <row r="6" ht="24.95" customHeight="1" spans="1:7">
      <c r="A6" s="23">
        <v>4</v>
      </c>
      <c r="B6" s="23" t="s">
        <v>257</v>
      </c>
      <c r="C6" s="23" t="s">
        <v>258</v>
      </c>
      <c r="D6" s="51">
        <v>96</v>
      </c>
      <c r="E6" s="23" t="s">
        <v>246</v>
      </c>
      <c r="F6" s="23" t="s">
        <v>247</v>
      </c>
      <c r="G6" s="43" t="s">
        <v>259</v>
      </c>
    </row>
    <row r="7" ht="24.95" customHeight="1" spans="1:7">
      <c r="A7" s="23">
        <v>5</v>
      </c>
      <c r="B7" s="23" t="s">
        <v>223</v>
      </c>
      <c r="C7" s="27" t="s">
        <v>260</v>
      </c>
      <c r="D7" s="52">
        <v>129.5</v>
      </c>
      <c r="E7" s="23" t="s">
        <v>261</v>
      </c>
      <c r="F7" s="23" t="s">
        <v>262</v>
      </c>
      <c r="G7" s="23"/>
    </row>
    <row r="8" ht="24.95" customHeight="1" spans="1:7">
      <c r="A8" s="23">
        <v>6</v>
      </c>
      <c r="B8" s="23" t="s">
        <v>224</v>
      </c>
      <c r="C8" s="27" t="s">
        <v>263</v>
      </c>
      <c r="D8" s="52">
        <v>160.16</v>
      </c>
      <c r="E8" s="23" t="s">
        <v>264</v>
      </c>
      <c r="F8" s="23" t="s">
        <v>262</v>
      </c>
      <c r="G8" s="23"/>
    </row>
    <row r="9" ht="24.95" customHeight="1" spans="1:7">
      <c r="A9" s="23">
        <v>7</v>
      </c>
      <c r="B9" s="23" t="s">
        <v>265</v>
      </c>
      <c r="C9" s="27" t="s">
        <v>266</v>
      </c>
      <c r="D9" s="53">
        <v>182.3</v>
      </c>
      <c r="E9" s="54" t="s">
        <v>267</v>
      </c>
      <c r="F9" s="23" t="s">
        <v>262</v>
      </c>
      <c r="G9" s="23"/>
    </row>
    <row r="10" ht="24.95" customHeight="1" spans="1:7">
      <c r="A10" s="23">
        <v>8</v>
      </c>
      <c r="B10" s="23" t="s">
        <v>225</v>
      </c>
      <c r="C10" s="55" t="s">
        <v>268</v>
      </c>
      <c r="D10" s="56">
        <v>206.95</v>
      </c>
      <c r="E10" s="23" t="s">
        <v>269</v>
      </c>
      <c r="F10" s="23" t="s">
        <v>262</v>
      </c>
      <c r="G10" s="23"/>
    </row>
    <row r="11" ht="24.95" customHeight="1" spans="1:7">
      <c r="A11" s="23">
        <v>9</v>
      </c>
      <c r="B11" s="23" t="s">
        <v>270</v>
      </c>
      <c r="C11" s="23" t="s">
        <v>271</v>
      </c>
      <c r="D11" s="51">
        <v>239.7</v>
      </c>
      <c r="E11" s="23" t="s">
        <v>272</v>
      </c>
      <c r="F11" s="23" t="s">
        <v>262</v>
      </c>
      <c r="G11" s="23"/>
    </row>
    <row r="12" ht="24.95" customHeight="1" spans="1:7">
      <c r="A12" s="23">
        <v>10</v>
      </c>
      <c r="B12" s="23" t="s">
        <v>273</v>
      </c>
      <c r="C12" s="23" t="s">
        <v>274</v>
      </c>
      <c r="D12" s="51">
        <v>263.6</v>
      </c>
      <c r="E12" s="23" t="s">
        <v>272</v>
      </c>
      <c r="F12" s="23" t="s">
        <v>262</v>
      </c>
      <c r="G12" s="23"/>
    </row>
    <row r="13" ht="24.95" customHeight="1" spans="1:7">
      <c r="A13" s="23">
        <v>11</v>
      </c>
      <c r="B13" s="23" t="s">
        <v>228</v>
      </c>
      <c r="C13" s="23" t="s">
        <v>275</v>
      </c>
      <c r="D13" s="51">
        <v>290.6</v>
      </c>
      <c r="E13" s="23" t="s">
        <v>276</v>
      </c>
      <c r="F13" s="23" t="s">
        <v>277</v>
      </c>
      <c r="G13" s="23" t="s">
        <v>278</v>
      </c>
    </row>
    <row r="14" ht="24.95" customHeight="1" spans="1:7">
      <c r="A14" s="23">
        <v>12</v>
      </c>
      <c r="B14" s="23" t="s">
        <v>279</v>
      </c>
      <c r="C14" s="23" t="s">
        <v>280</v>
      </c>
      <c r="D14" s="51">
        <v>313.6</v>
      </c>
      <c r="E14" s="23" t="s">
        <v>276</v>
      </c>
      <c r="F14" s="23" t="s">
        <v>277</v>
      </c>
      <c r="G14" s="23" t="s">
        <v>281</v>
      </c>
    </row>
    <row r="15" ht="24.95" customHeight="1" spans="1:7">
      <c r="A15" s="23">
        <v>13</v>
      </c>
      <c r="B15" s="23" t="s">
        <v>229</v>
      </c>
      <c r="C15" s="23" t="s">
        <v>282</v>
      </c>
      <c r="D15" s="51">
        <v>344</v>
      </c>
      <c r="E15" s="23" t="s">
        <v>283</v>
      </c>
      <c r="F15" s="23" t="s">
        <v>277</v>
      </c>
      <c r="G15" s="23"/>
    </row>
    <row r="16" ht="24.95" customHeight="1" spans="1:7">
      <c r="A16" s="23">
        <v>14</v>
      </c>
      <c r="B16" s="23" t="s">
        <v>230</v>
      </c>
      <c r="C16" s="23" t="s">
        <v>284</v>
      </c>
      <c r="D16" s="51">
        <v>373</v>
      </c>
      <c r="E16" s="23" t="s">
        <v>283</v>
      </c>
      <c r="F16" s="23" t="s">
        <v>277</v>
      </c>
      <c r="G16" s="23"/>
    </row>
    <row r="17" ht="24.95" customHeight="1" spans="1:7">
      <c r="A17" s="23">
        <v>15</v>
      </c>
      <c r="B17" s="23" t="s">
        <v>231</v>
      </c>
      <c r="C17" s="23" t="s">
        <v>285</v>
      </c>
      <c r="D17" s="51">
        <v>401</v>
      </c>
      <c r="E17" s="23" t="s">
        <v>283</v>
      </c>
      <c r="F17" s="23" t="s">
        <v>277</v>
      </c>
      <c r="G17" s="23"/>
    </row>
    <row r="18" ht="24.95" customHeight="1" spans="1:7">
      <c r="A18" s="23">
        <v>16</v>
      </c>
      <c r="B18" s="23" t="s">
        <v>286</v>
      </c>
      <c r="C18" s="23" t="s">
        <v>287</v>
      </c>
      <c r="D18" s="51">
        <v>436.711</v>
      </c>
      <c r="E18" s="57" t="s">
        <v>288</v>
      </c>
      <c r="F18" s="23" t="s">
        <v>289</v>
      </c>
      <c r="G18" s="23"/>
    </row>
    <row r="19" ht="24.95" customHeight="1" spans="1:7">
      <c r="A19" s="23">
        <v>17</v>
      </c>
      <c r="B19" s="23" t="s">
        <v>290</v>
      </c>
      <c r="C19" s="23" t="s">
        <v>291</v>
      </c>
      <c r="D19" s="51">
        <v>465.711</v>
      </c>
      <c r="E19" s="57" t="s">
        <v>288</v>
      </c>
      <c r="F19" s="23" t="s">
        <v>289</v>
      </c>
      <c r="G19" s="23"/>
    </row>
    <row r="20" ht="24.95" customHeight="1" spans="1:7">
      <c r="A20" s="23">
        <v>18</v>
      </c>
      <c r="B20" s="23" t="s">
        <v>292</v>
      </c>
      <c r="C20" s="23" t="s">
        <v>293</v>
      </c>
      <c r="D20" s="51">
        <v>497</v>
      </c>
      <c r="E20" s="57" t="s">
        <v>294</v>
      </c>
      <c r="F20" s="23" t="s">
        <v>289</v>
      </c>
      <c r="G20" s="23"/>
    </row>
    <row r="21" ht="24.95" customHeight="1" spans="1:7">
      <c r="A21" s="23">
        <v>19</v>
      </c>
      <c r="B21" s="23" t="s">
        <v>295</v>
      </c>
      <c r="C21" s="23" t="s">
        <v>296</v>
      </c>
      <c r="D21" s="51">
        <v>527.5</v>
      </c>
      <c r="E21" s="57" t="s">
        <v>294</v>
      </c>
      <c r="F21" s="23" t="s">
        <v>289</v>
      </c>
      <c r="G21" s="23"/>
    </row>
    <row r="22" ht="24.95" customHeight="1" spans="1:7">
      <c r="A22" s="23">
        <v>20</v>
      </c>
      <c r="B22" s="23" t="s">
        <v>297</v>
      </c>
      <c r="C22" s="23" t="s">
        <v>298</v>
      </c>
      <c r="D22" s="51">
        <v>554</v>
      </c>
      <c r="E22" s="57" t="s">
        <v>294</v>
      </c>
      <c r="F22" s="23" t="s">
        <v>289</v>
      </c>
      <c r="G22" s="23"/>
    </row>
    <row r="23" ht="24.95" customHeight="1" spans="1:7">
      <c r="A23" s="23">
        <v>21</v>
      </c>
      <c r="B23" s="23" t="s">
        <v>299</v>
      </c>
      <c r="C23" s="23" t="s">
        <v>300</v>
      </c>
      <c r="D23" s="51">
        <v>584.2</v>
      </c>
      <c r="E23" s="23" t="s">
        <v>301</v>
      </c>
      <c r="F23" s="23" t="s">
        <v>302</v>
      </c>
      <c r="G23" s="23"/>
    </row>
    <row r="24" ht="24.95" customHeight="1" spans="1:7">
      <c r="A24" s="23">
        <v>22</v>
      </c>
      <c r="B24" s="23" t="s">
        <v>303</v>
      </c>
      <c r="C24" s="23" t="s">
        <v>304</v>
      </c>
      <c r="D24" s="51">
        <v>614.9</v>
      </c>
      <c r="E24" s="23" t="s">
        <v>301</v>
      </c>
      <c r="F24" s="23" t="s">
        <v>302</v>
      </c>
      <c r="G24" s="23"/>
    </row>
    <row r="25" ht="24.95" customHeight="1" spans="1:7">
      <c r="A25" s="23">
        <v>23</v>
      </c>
      <c r="B25" s="23" t="s">
        <v>107</v>
      </c>
      <c r="C25" s="23" t="s">
        <v>305</v>
      </c>
      <c r="D25" s="51">
        <v>645.6</v>
      </c>
      <c r="E25" s="23" t="s">
        <v>301</v>
      </c>
      <c r="F25" s="23" t="s">
        <v>302</v>
      </c>
      <c r="G25" s="23"/>
    </row>
    <row r="26" ht="24.95" customHeight="1" spans="1:7">
      <c r="A26" s="23">
        <v>24</v>
      </c>
      <c r="B26" s="23" t="s">
        <v>306</v>
      </c>
      <c r="C26" s="23" t="s">
        <v>307</v>
      </c>
      <c r="D26" s="51">
        <v>661.6</v>
      </c>
      <c r="E26" s="23" t="s">
        <v>308</v>
      </c>
      <c r="F26" s="23" t="s">
        <v>302</v>
      </c>
      <c r="G26" s="23"/>
    </row>
    <row r="27" ht="24.95" customHeight="1" spans="1:7">
      <c r="A27" s="23">
        <v>25</v>
      </c>
      <c r="B27" s="23" t="s">
        <v>108</v>
      </c>
      <c r="C27" s="23" t="s">
        <v>309</v>
      </c>
      <c r="D27" s="51">
        <v>687</v>
      </c>
      <c r="E27" s="23" t="s">
        <v>310</v>
      </c>
      <c r="F27" s="23" t="s">
        <v>302</v>
      </c>
      <c r="G27" s="23"/>
    </row>
    <row r="28" ht="24.95" customHeight="1" spans="1:7">
      <c r="A28" s="23">
        <v>26</v>
      </c>
      <c r="B28" s="23" t="s">
        <v>110</v>
      </c>
      <c r="C28" s="23" t="s">
        <v>311</v>
      </c>
      <c r="D28" s="51">
        <v>710</v>
      </c>
      <c r="E28" s="23" t="s">
        <v>310</v>
      </c>
      <c r="F28" s="23" t="s">
        <v>302</v>
      </c>
      <c r="G28" s="23"/>
    </row>
    <row r="29" ht="24.95" customHeight="1" spans="1:7">
      <c r="A29" s="23">
        <v>27</v>
      </c>
      <c r="B29" s="23" t="s">
        <v>111</v>
      </c>
      <c r="C29" s="23" t="s">
        <v>312</v>
      </c>
      <c r="D29" s="51">
        <v>710</v>
      </c>
      <c r="E29" s="23" t="s">
        <v>310</v>
      </c>
      <c r="F29" s="23" t="s">
        <v>313</v>
      </c>
      <c r="G29" s="23"/>
    </row>
    <row r="30" ht="24.95" customHeight="1" spans="1:7">
      <c r="A30" s="23">
        <v>28</v>
      </c>
      <c r="B30" s="23" t="s">
        <v>112</v>
      </c>
      <c r="C30" s="23" t="s">
        <v>314</v>
      </c>
      <c r="D30" s="51">
        <v>768</v>
      </c>
      <c r="E30" s="23" t="s">
        <v>310</v>
      </c>
      <c r="F30" s="23" t="s">
        <v>313</v>
      </c>
      <c r="G30" s="23"/>
    </row>
    <row r="31" ht="24.95" customHeight="1" spans="1:7">
      <c r="A31" s="23">
        <v>29</v>
      </c>
      <c r="B31" s="23" t="s">
        <v>315</v>
      </c>
      <c r="C31" s="23" t="s">
        <v>316</v>
      </c>
      <c r="D31" s="51">
        <v>801</v>
      </c>
      <c r="E31" s="23" t="s">
        <v>310</v>
      </c>
      <c r="F31" s="23" t="s">
        <v>313</v>
      </c>
      <c r="G31" s="23"/>
    </row>
    <row r="32" ht="24.95" customHeight="1" spans="1:7">
      <c r="A32" s="23">
        <v>30</v>
      </c>
      <c r="B32" s="23" t="s">
        <v>115</v>
      </c>
      <c r="C32" s="23" t="s">
        <v>317</v>
      </c>
      <c r="D32" s="51">
        <v>834</v>
      </c>
      <c r="E32" s="23" t="s">
        <v>310</v>
      </c>
      <c r="F32" s="23" t="s">
        <v>313</v>
      </c>
      <c r="G32" s="23"/>
    </row>
    <row r="33" ht="24.95" customHeight="1" spans="1:7">
      <c r="A33" s="23">
        <v>31</v>
      </c>
      <c r="B33" s="23" t="s">
        <v>116</v>
      </c>
      <c r="C33" s="23" t="s">
        <v>318</v>
      </c>
      <c r="D33" s="51">
        <v>866</v>
      </c>
      <c r="E33" s="23" t="s">
        <v>310</v>
      </c>
      <c r="F33" s="23" t="s">
        <v>313</v>
      </c>
      <c r="G33" s="23"/>
    </row>
    <row r="34" ht="24.95" customHeight="1" spans="1:7">
      <c r="A34" s="23">
        <v>32</v>
      </c>
      <c r="B34" s="23" t="s">
        <v>118</v>
      </c>
      <c r="C34" s="23" t="s">
        <v>319</v>
      </c>
      <c r="D34" s="51">
        <v>898</v>
      </c>
      <c r="E34" s="23" t="s">
        <v>310</v>
      </c>
      <c r="F34" s="23" t="s">
        <v>313</v>
      </c>
      <c r="G34" s="23"/>
    </row>
    <row r="35" s="49" customFormat="1" ht="24.95" customHeight="1" spans="1:7">
      <c r="A35" s="58">
        <v>33</v>
      </c>
      <c r="B35" s="58" t="s">
        <v>120</v>
      </c>
      <c r="C35" s="58" t="s">
        <v>320</v>
      </c>
      <c r="D35" s="59">
        <v>928</v>
      </c>
      <c r="E35" s="58" t="s">
        <v>310</v>
      </c>
      <c r="F35" s="58" t="s">
        <v>313</v>
      </c>
      <c r="G35" s="58"/>
    </row>
    <row r="36" ht="24.95" customHeight="1" spans="1:7">
      <c r="A36" s="23">
        <v>34</v>
      </c>
      <c r="B36" s="23" t="s">
        <v>56</v>
      </c>
      <c r="C36" s="23" t="s">
        <v>321</v>
      </c>
      <c r="D36" s="51">
        <v>959</v>
      </c>
      <c r="E36" s="23" t="s">
        <v>322</v>
      </c>
      <c r="F36" s="23" t="s">
        <v>323</v>
      </c>
      <c r="G36" s="23" t="s">
        <v>324</v>
      </c>
    </row>
    <row r="37" ht="24.95" customHeight="1" spans="1:7">
      <c r="A37" s="23">
        <v>35</v>
      </c>
      <c r="B37" s="23" t="s">
        <v>121</v>
      </c>
      <c r="C37" s="23" t="s">
        <v>325</v>
      </c>
      <c r="D37" s="51">
        <v>992</v>
      </c>
      <c r="E37" s="23" t="s">
        <v>322</v>
      </c>
      <c r="F37" s="23" t="s">
        <v>323</v>
      </c>
      <c r="G37" s="23" t="s">
        <v>326</v>
      </c>
    </row>
    <row r="38" ht="24.95" customHeight="1" spans="1:7">
      <c r="A38" s="23">
        <v>36</v>
      </c>
      <c r="B38" s="23" t="s">
        <v>122</v>
      </c>
      <c r="C38" s="23" t="s">
        <v>327</v>
      </c>
      <c r="D38" s="51">
        <v>1022</v>
      </c>
      <c r="E38" s="23" t="s">
        <v>322</v>
      </c>
      <c r="F38" s="23" t="s">
        <v>323</v>
      </c>
      <c r="G38" s="23" t="s">
        <v>328</v>
      </c>
    </row>
    <row r="39" ht="24.95" customHeight="1" spans="1:7">
      <c r="A39" s="23">
        <v>37</v>
      </c>
      <c r="B39" s="60" t="s">
        <v>123</v>
      </c>
      <c r="C39" s="60" t="s">
        <v>329</v>
      </c>
      <c r="D39" s="61">
        <v>1055</v>
      </c>
      <c r="E39" s="60" t="s">
        <v>322</v>
      </c>
      <c r="F39" s="60" t="s">
        <v>323</v>
      </c>
      <c r="G39" s="60" t="s">
        <v>330</v>
      </c>
    </row>
    <row r="40" ht="24.95" customHeight="1" spans="1:7">
      <c r="A40" s="23">
        <v>38</v>
      </c>
      <c r="B40" s="60" t="s">
        <v>124</v>
      </c>
      <c r="C40" s="60" t="s">
        <v>331</v>
      </c>
      <c r="D40" s="61">
        <v>1085</v>
      </c>
      <c r="E40" s="60" t="s">
        <v>332</v>
      </c>
      <c r="F40" s="60" t="s">
        <v>333</v>
      </c>
      <c r="G40" s="60" t="s">
        <v>334</v>
      </c>
    </row>
    <row r="41" ht="24.95" customHeight="1" spans="1:7">
      <c r="A41" s="23">
        <v>39</v>
      </c>
      <c r="B41" s="60" t="s">
        <v>335</v>
      </c>
      <c r="C41" s="60" t="s">
        <v>336</v>
      </c>
      <c r="D41" s="61">
        <v>1117</v>
      </c>
      <c r="E41" s="60" t="s">
        <v>332</v>
      </c>
      <c r="F41" s="60" t="s">
        <v>333</v>
      </c>
      <c r="G41" s="60" t="s">
        <v>337</v>
      </c>
    </row>
    <row r="42" ht="24.95" customHeight="1" spans="1:7">
      <c r="A42" s="23">
        <v>40</v>
      </c>
      <c r="B42" s="60" t="s">
        <v>125</v>
      </c>
      <c r="C42" s="60" t="s">
        <v>338</v>
      </c>
      <c r="D42" s="61">
        <v>1142</v>
      </c>
      <c r="E42" s="60" t="s">
        <v>339</v>
      </c>
      <c r="F42" s="60" t="s">
        <v>333</v>
      </c>
      <c r="G42" s="60" t="s">
        <v>340</v>
      </c>
    </row>
    <row r="43" ht="24.95" customHeight="1" spans="1:7">
      <c r="A43" s="23">
        <v>41</v>
      </c>
      <c r="B43" s="60" t="s">
        <v>126</v>
      </c>
      <c r="C43" s="60" t="s">
        <v>341</v>
      </c>
      <c r="D43" s="61">
        <v>1170</v>
      </c>
      <c r="E43" s="60" t="s">
        <v>342</v>
      </c>
      <c r="F43" s="60" t="s">
        <v>343</v>
      </c>
      <c r="G43" s="60" t="s">
        <v>344</v>
      </c>
    </row>
    <row r="44" ht="24.95" customHeight="1" spans="1:7">
      <c r="A44" s="23">
        <v>42</v>
      </c>
      <c r="B44" s="60" t="s">
        <v>62</v>
      </c>
      <c r="C44" s="60" t="s">
        <v>345</v>
      </c>
      <c r="D44" s="51">
        <v>1190</v>
      </c>
      <c r="E44" s="60" t="s">
        <v>346</v>
      </c>
      <c r="F44" s="60" t="s">
        <v>343</v>
      </c>
      <c r="G44" s="60" t="s">
        <v>347</v>
      </c>
    </row>
    <row r="45" ht="24.95" customHeight="1" spans="1:7">
      <c r="A45" s="23">
        <v>43</v>
      </c>
      <c r="B45" s="60" t="s">
        <v>128</v>
      </c>
      <c r="C45" s="60" t="s">
        <v>348</v>
      </c>
      <c r="D45" s="51">
        <v>1217</v>
      </c>
      <c r="E45" s="60" t="s">
        <v>349</v>
      </c>
      <c r="F45" s="60" t="s">
        <v>343</v>
      </c>
      <c r="G45" s="60" t="s">
        <v>350</v>
      </c>
    </row>
    <row r="46" ht="24.95" customHeight="1" spans="1:7">
      <c r="A46" s="23">
        <v>44</v>
      </c>
      <c r="B46" s="60" t="s">
        <v>129</v>
      </c>
      <c r="C46" s="60" t="s">
        <v>351</v>
      </c>
      <c r="D46" s="51">
        <v>1240</v>
      </c>
      <c r="E46" s="60" t="s">
        <v>352</v>
      </c>
      <c r="F46" s="60" t="s">
        <v>343</v>
      </c>
      <c r="G46" s="60" t="s">
        <v>353</v>
      </c>
    </row>
    <row r="47" ht="24.95" customHeight="1" spans="1:7">
      <c r="A47" s="23">
        <v>45</v>
      </c>
      <c r="B47" s="23" t="s">
        <v>354</v>
      </c>
      <c r="C47" s="23" t="s">
        <v>355</v>
      </c>
      <c r="D47" s="51">
        <v>1266</v>
      </c>
      <c r="E47" s="23" t="s">
        <v>356</v>
      </c>
      <c r="F47" s="23" t="s">
        <v>343</v>
      </c>
      <c r="G47" s="23" t="s">
        <v>357</v>
      </c>
    </row>
    <row r="48" ht="24.95" customHeight="1" spans="1:7">
      <c r="A48" s="23">
        <v>46</v>
      </c>
      <c r="B48" s="23" t="s">
        <v>131</v>
      </c>
      <c r="C48" s="23" t="s">
        <v>358</v>
      </c>
      <c r="D48" s="51">
        <v>1293.9</v>
      </c>
      <c r="E48" s="23" t="s">
        <v>359</v>
      </c>
      <c r="F48" s="23" t="s">
        <v>360</v>
      </c>
      <c r="G48" s="23" t="s">
        <v>361</v>
      </c>
    </row>
    <row r="49" ht="24.95" customHeight="1" spans="1:7">
      <c r="A49" s="23">
        <v>47</v>
      </c>
      <c r="B49" s="23" t="s">
        <v>133</v>
      </c>
      <c r="C49" s="23" t="s">
        <v>362</v>
      </c>
      <c r="D49" s="51">
        <v>1321.21</v>
      </c>
      <c r="E49" s="23" t="s">
        <v>363</v>
      </c>
      <c r="F49" s="23" t="s">
        <v>360</v>
      </c>
      <c r="G49" s="23" t="s">
        <v>364</v>
      </c>
    </row>
    <row r="50" ht="24.95" customHeight="1" spans="1:7">
      <c r="A50" s="23">
        <v>48</v>
      </c>
      <c r="B50" s="23" t="s">
        <v>134</v>
      </c>
      <c r="C50" s="23" t="s">
        <v>365</v>
      </c>
      <c r="D50" s="51">
        <v>1350.9</v>
      </c>
      <c r="E50" s="23" t="s">
        <v>366</v>
      </c>
      <c r="F50" s="23" t="s">
        <v>360</v>
      </c>
      <c r="G50" s="23" t="s">
        <v>367</v>
      </c>
    </row>
    <row r="51" ht="24.95" customHeight="1" spans="1:7">
      <c r="A51" s="23">
        <v>49</v>
      </c>
      <c r="B51" s="23" t="s">
        <v>135</v>
      </c>
      <c r="C51" s="23" t="s">
        <v>368</v>
      </c>
      <c r="D51" s="51">
        <v>1378.9</v>
      </c>
      <c r="E51" s="23" t="s">
        <v>369</v>
      </c>
      <c r="F51" s="23" t="s">
        <v>360</v>
      </c>
      <c r="G51" s="23" t="s">
        <v>370</v>
      </c>
    </row>
    <row r="52" ht="24.95" customHeight="1" spans="1:7">
      <c r="A52" s="23">
        <v>50</v>
      </c>
      <c r="B52" s="23" t="s">
        <v>136</v>
      </c>
      <c r="C52" s="23" t="s">
        <v>371</v>
      </c>
      <c r="D52" s="51">
        <v>1404.7</v>
      </c>
      <c r="E52" s="23" t="s">
        <v>372</v>
      </c>
      <c r="F52" s="23" t="s">
        <v>360</v>
      </c>
      <c r="G52" s="23" t="s">
        <v>373</v>
      </c>
    </row>
    <row r="53" ht="24.95" customHeight="1" spans="1:7">
      <c r="A53" s="23">
        <v>51</v>
      </c>
      <c r="B53" s="23" t="s">
        <v>137</v>
      </c>
      <c r="C53" s="23" t="s">
        <v>374</v>
      </c>
      <c r="D53" s="51">
        <v>1436.5</v>
      </c>
      <c r="E53" s="23" t="s">
        <v>375</v>
      </c>
      <c r="F53" s="23" t="s">
        <v>376</v>
      </c>
      <c r="G53" s="23" t="s">
        <v>377</v>
      </c>
    </row>
    <row r="54" ht="24.95" customHeight="1" spans="1:7">
      <c r="A54" s="23">
        <v>52</v>
      </c>
      <c r="B54" s="23" t="s">
        <v>378</v>
      </c>
      <c r="C54" s="23" t="s">
        <v>379</v>
      </c>
      <c r="D54" s="51">
        <v>1467.7</v>
      </c>
      <c r="E54" s="23" t="s">
        <v>375</v>
      </c>
      <c r="F54" s="23" t="s">
        <v>376</v>
      </c>
      <c r="G54" s="23" t="s">
        <v>380</v>
      </c>
    </row>
    <row r="55" ht="24.95" customHeight="1" spans="1:7">
      <c r="A55" s="23">
        <v>53</v>
      </c>
      <c r="B55" s="23" t="s">
        <v>139</v>
      </c>
      <c r="C55" s="23" t="s">
        <v>381</v>
      </c>
      <c r="D55" s="51">
        <v>1489.5</v>
      </c>
      <c r="E55" s="23" t="s">
        <v>375</v>
      </c>
      <c r="F55" s="23" t="s">
        <v>376</v>
      </c>
      <c r="G55" s="23" t="s">
        <v>382</v>
      </c>
    </row>
    <row r="56" ht="24.95" customHeight="1" spans="1:7">
      <c r="A56" s="23">
        <v>54</v>
      </c>
      <c r="B56" s="23" t="s">
        <v>142</v>
      </c>
      <c r="C56" s="23" t="s">
        <v>383</v>
      </c>
      <c r="D56" s="51">
        <v>1509.8</v>
      </c>
      <c r="E56" s="23" t="s">
        <v>375</v>
      </c>
      <c r="F56" s="23" t="s">
        <v>376</v>
      </c>
      <c r="G56" s="23" t="s">
        <v>384</v>
      </c>
    </row>
    <row r="57" ht="24.95" customHeight="1" spans="1:7">
      <c r="A57" s="23">
        <v>55</v>
      </c>
      <c r="B57" s="23" t="s">
        <v>143</v>
      </c>
      <c r="C57" s="23" t="s">
        <v>385</v>
      </c>
      <c r="D57" s="23">
        <v>1534.6</v>
      </c>
      <c r="E57" s="23" t="s">
        <v>375</v>
      </c>
      <c r="F57" s="23" t="s">
        <v>376</v>
      </c>
      <c r="G57" s="23" t="s">
        <v>386</v>
      </c>
    </row>
    <row r="58" ht="24.95" customHeight="1" spans="1:7">
      <c r="A58" s="43">
        <v>56</v>
      </c>
      <c r="B58" s="25" t="s">
        <v>144</v>
      </c>
      <c r="C58" s="23" t="s">
        <v>387</v>
      </c>
      <c r="D58" s="51">
        <v>1556.55</v>
      </c>
      <c r="E58" s="43" t="s">
        <v>388</v>
      </c>
      <c r="F58" s="43" t="s">
        <v>389</v>
      </c>
      <c r="G58" s="43"/>
    </row>
    <row r="59" ht="24.95" customHeight="1" spans="1:7">
      <c r="A59" s="43">
        <v>57</v>
      </c>
      <c r="B59" s="25" t="s">
        <v>22</v>
      </c>
      <c r="C59" s="23" t="s">
        <v>390</v>
      </c>
      <c r="D59" s="51">
        <v>1585.95</v>
      </c>
      <c r="E59" s="43" t="s">
        <v>391</v>
      </c>
      <c r="F59" s="43" t="s">
        <v>389</v>
      </c>
      <c r="G59" s="43"/>
    </row>
    <row r="60" ht="24.95" customHeight="1" spans="1:7">
      <c r="A60" s="43">
        <v>58</v>
      </c>
      <c r="B60" s="25" t="s">
        <v>49</v>
      </c>
      <c r="C60" s="23" t="s">
        <v>392</v>
      </c>
      <c r="D60" s="51">
        <v>1609.35</v>
      </c>
      <c r="E60" s="43" t="s">
        <v>393</v>
      </c>
      <c r="F60" s="43" t="s">
        <v>389</v>
      </c>
      <c r="G60" s="43"/>
    </row>
    <row r="61" ht="24.95" customHeight="1" spans="1:7">
      <c r="A61" s="43">
        <v>59</v>
      </c>
      <c r="B61" s="25" t="s">
        <v>16</v>
      </c>
      <c r="C61" s="23" t="s">
        <v>394</v>
      </c>
      <c r="D61" s="51">
        <v>1639.9</v>
      </c>
      <c r="E61" s="43" t="s">
        <v>395</v>
      </c>
      <c r="F61" s="43" t="s">
        <v>389</v>
      </c>
      <c r="G61" s="43"/>
    </row>
    <row r="62" ht="24.95" customHeight="1" spans="1:7">
      <c r="A62" s="43">
        <v>60</v>
      </c>
      <c r="B62" s="25" t="s">
        <v>396</v>
      </c>
      <c r="C62" s="23" t="s">
        <v>397</v>
      </c>
      <c r="D62" s="51">
        <v>1664.779</v>
      </c>
      <c r="E62" s="43" t="s">
        <v>398</v>
      </c>
      <c r="F62" s="43" t="s">
        <v>399</v>
      </c>
      <c r="G62" s="43"/>
    </row>
    <row r="63" ht="24.95" customHeight="1" spans="1:7">
      <c r="A63" s="43">
        <v>61</v>
      </c>
      <c r="B63" s="25" t="s">
        <v>400</v>
      </c>
      <c r="C63" s="23" t="s">
        <v>401</v>
      </c>
      <c r="D63" s="51">
        <v>1688.779</v>
      </c>
      <c r="E63" s="43" t="s">
        <v>402</v>
      </c>
      <c r="F63" s="43" t="s">
        <v>399</v>
      </c>
      <c r="G63" s="43"/>
    </row>
    <row r="64" ht="24.95" customHeight="1" spans="1:7">
      <c r="A64" s="43">
        <v>62</v>
      </c>
      <c r="B64" s="25" t="s">
        <v>403</v>
      </c>
      <c r="C64" s="23" t="s">
        <v>404</v>
      </c>
      <c r="D64" s="51">
        <v>1716.779</v>
      </c>
      <c r="E64" s="43" t="s">
        <v>405</v>
      </c>
      <c r="F64" s="43" t="s">
        <v>399</v>
      </c>
      <c r="G64" s="43"/>
    </row>
    <row r="65" ht="24.95" customHeight="1" spans="1:7">
      <c r="A65" s="43">
        <v>63</v>
      </c>
      <c r="B65" s="25" t="s">
        <v>406</v>
      </c>
      <c r="C65" s="23" t="s">
        <v>407</v>
      </c>
      <c r="D65" s="51">
        <v>1744.255</v>
      </c>
      <c r="E65" s="43" t="s">
        <v>408</v>
      </c>
      <c r="F65" s="43" t="s">
        <v>399</v>
      </c>
      <c r="G65" s="43"/>
    </row>
    <row r="66" ht="24.95" customHeight="1" spans="1:7">
      <c r="A66" s="43">
        <v>64</v>
      </c>
      <c r="B66" s="25" t="s">
        <v>409</v>
      </c>
      <c r="C66" s="23" t="s">
        <v>410</v>
      </c>
      <c r="D66" s="51">
        <v>1777.234</v>
      </c>
      <c r="E66" s="43" t="s">
        <v>411</v>
      </c>
      <c r="F66" s="43" t="s">
        <v>399</v>
      </c>
      <c r="G66" s="43"/>
    </row>
    <row r="67" ht="24.95" customHeight="1" spans="1:7">
      <c r="A67" s="43">
        <v>65</v>
      </c>
      <c r="B67" s="25" t="s">
        <v>412</v>
      </c>
      <c r="C67" s="23" t="s">
        <v>413</v>
      </c>
      <c r="D67" s="51">
        <v>1808.822</v>
      </c>
      <c r="E67" s="43" t="s">
        <v>414</v>
      </c>
      <c r="F67" s="43" t="s">
        <v>415</v>
      </c>
      <c r="G67" s="43" t="s">
        <v>416</v>
      </c>
    </row>
    <row r="68" ht="24.95" customHeight="1" spans="1:7">
      <c r="A68" s="43">
        <v>66</v>
      </c>
      <c r="B68" s="25" t="s">
        <v>50</v>
      </c>
      <c r="C68" s="23" t="s">
        <v>417</v>
      </c>
      <c r="D68" s="51">
        <v>1843.112</v>
      </c>
      <c r="E68" s="43" t="s">
        <v>418</v>
      </c>
      <c r="F68" s="43" t="s">
        <v>415</v>
      </c>
      <c r="G68" s="43"/>
    </row>
    <row r="69" ht="24.95" customHeight="1" spans="1:7">
      <c r="A69" s="43">
        <v>67</v>
      </c>
      <c r="B69" s="25" t="s">
        <v>419</v>
      </c>
      <c r="C69" s="23" t="s">
        <v>420</v>
      </c>
      <c r="D69" s="51">
        <v>1874.949</v>
      </c>
      <c r="E69" s="43" t="s">
        <v>421</v>
      </c>
      <c r="F69" s="43" t="s">
        <v>415</v>
      </c>
      <c r="G69" s="43"/>
    </row>
    <row r="70" ht="24.95" customHeight="1" spans="1:7">
      <c r="A70" s="43">
        <v>68</v>
      </c>
      <c r="B70" s="25" t="s">
        <v>422</v>
      </c>
      <c r="C70" s="23" t="s">
        <v>423</v>
      </c>
      <c r="D70" s="51">
        <v>1902.349</v>
      </c>
      <c r="E70" s="43" t="s">
        <v>424</v>
      </c>
      <c r="F70" s="43" t="s">
        <v>415</v>
      </c>
      <c r="G70" s="43"/>
    </row>
    <row r="71" s="50" customFormat="1" ht="24.95" customHeight="1" spans="1:7">
      <c r="A71" s="43">
        <v>69</v>
      </c>
      <c r="B71" s="25" t="s">
        <v>425</v>
      </c>
      <c r="C71" s="23" t="s">
        <v>426</v>
      </c>
      <c r="D71" s="51">
        <v>1922.368</v>
      </c>
      <c r="E71" s="43" t="s">
        <v>427</v>
      </c>
      <c r="F71" s="43" t="s">
        <v>415</v>
      </c>
      <c r="G71" s="43"/>
    </row>
  </sheetData>
  <mergeCells count="1">
    <mergeCell ref="A1:G1"/>
  </mergeCells>
  <pageMargins left="0.699305555555556" right="0.699305555555556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J88"/>
  <sheetViews>
    <sheetView workbookViewId="0">
      <selection activeCell="K24" sqref="K24"/>
    </sheetView>
  </sheetViews>
  <sheetFormatPr defaultColWidth="9" defaultRowHeight="15"/>
  <cols>
    <col min="1" max="1" width="5.25" style="21" customWidth="1"/>
    <col min="2" max="2" width="19.25" style="21" customWidth="1"/>
    <col min="3" max="3" width="24.5" style="21" customWidth="1"/>
    <col min="4" max="4" width="18" style="21" customWidth="1"/>
    <col min="5" max="5" width="20.25" style="21" customWidth="1"/>
    <col min="6" max="6" width="16.25" style="21" customWidth="1"/>
    <col min="7" max="8" width="9" style="21"/>
    <col min="9" max="9" width="10.375" style="21" customWidth="1"/>
    <col min="10" max="10" width="13.625" style="21" customWidth="1"/>
    <col min="11" max="16384" width="9" style="21"/>
  </cols>
  <sheetData>
    <row r="1" ht="33.75" customHeight="1" spans="1:6">
      <c r="A1" s="22" t="s">
        <v>428</v>
      </c>
      <c r="B1" s="22"/>
      <c r="C1" s="22"/>
      <c r="D1" s="22"/>
      <c r="E1" s="22"/>
      <c r="F1" s="22"/>
    </row>
    <row r="2" s="20" customFormat="1" ht="28" spans="1:10">
      <c r="A2" s="23" t="s">
        <v>1</v>
      </c>
      <c r="B2" s="23" t="s">
        <v>235</v>
      </c>
      <c r="C2" s="24" t="s">
        <v>236</v>
      </c>
      <c r="D2" s="25" t="s">
        <v>237</v>
      </c>
      <c r="E2" s="23" t="s">
        <v>238</v>
      </c>
      <c r="F2" s="23" t="s">
        <v>239</v>
      </c>
      <c r="G2" s="27" t="s">
        <v>241</v>
      </c>
      <c r="H2" s="27" t="s">
        <v>242</v>
      </c>
      <c r="I2" s="27" t="s">
        <v>243</v>
      </c>
      <c r="J2" s="27" t="s">
        <v>244</v>
      </c>
    </row>
    <row r="3" ht="24.95" customHeight="1" spans="1:10">
      <c r="A3" s="28">
        <v>1</v>
      </c>
      <c r="B3" s="28" t="s">
        <v>429</v>
      </c>
      <c r="C3" s="23" t="s">
        <v>430</v>
      </c>
      <c r="D3" s="23" t="s">
        <v>430</v>
      </c>
      <c r="E3" s="23" t="s">
        <v>431</v>
      </c>
      <c r="F3" s="23" t="s">
        <v>432</v>
      </c>
      <c r="G3" s="27" t="s">
        <v>433</v>
      </c>
      <c r="H3" s="27" t="s">
        <v>434</v>
      </c>
      <c r="I3" s="27" t="s">
        <v>68</v>
      </c>
      <c r="J3" s="19">
        <f>1000*3.14*(I3/2/1000)*(I3/2/1000)</f>
        <v>1097.1135194</v>
      </c>
    </row>
    <row r="4" ht="24.95" customHeight="1" spans="1:6">
      <c r="A4" s="28">
        <v>2</v>
      </c>
      <c r="B4" s="28" t="s">
        <v>435</v>
      </c>
      <c r="C4" s="23" t="s">
        <v>436</v>
      </c>
      <c r="D4" s="23" t="s">
        <v>437</v>
      </c>
      <c r="E4" s="23" t="s">
        <v>431</v>
      </c>
      <c r="F4" s="23" t="s">
        <v>432</v>
      </c>
    </row>
    <row r="5" ht="24.95" customHeight="1" spans="1:6">
      <c r="A5" s="28">
        <v>3</v>
      </c>
      <c r="B5" s="28" t="s">
        <v>438</v>
      </c>
      <c r="C5" s="23" t="s">
        <v>439</v>
      </c>
      <c r="D5" s="23" t="s">
        <v>440</v>
      </c>
      <c r="E5" s="23" t="s">
        <v>431</v>
      </c>
      <c r="F5" s="23" t="s">
        <v>432</v>
      </c>
    </row>
    <row r="6" ht="24.95" customHeight="1" spans="1:6">
      <c r="A6" s="28">
        <v>4</v>
      </c>
      <c r="B6" s="28" t="s">
        <v>441</v>
      </c>
      <c r="C6" s="28" t="s">
        <v>442</v>
      </c>
      <c r="D6" s="28">
        <v>75</v>
      </c>
      <c r="E6" s="28" t="s">
        <v>431</v>
      </c>
      <c r="F6" s="28" t="s">
        <v>432</v>
      </c>
    </row>
    <row r="7" ht="24.95" customHeight="1" spans="1:6">
      <c r="A7" s="28">
        <v>5</v>
      </c>
      <c r="B7" s="28" t="s">
        <v>443</v>
      </c>
      <c r="C7" s="28" t="s">
        <v>444</v>
      </c>
      <c r="D7" s="28">
        <v>106</v>
      </c>
      <c r="E7" s="28" t="s">
        <v>445</v>
      </c>
      <c r="F7" s="28" t="s">
        <v>446</v>
      </c>
    </row>
    <row r="8" ht="24.95" customHeight="1" spans="1:6">
      <c r="A8" s="28">
        <v>6</v>
      </c>
      <c r="B8" s="28" t="s">
        <v>447</v>
      </c>
      <c r="C8" s="28" t="s">
        <v>448</v>
      </c>
      <c r="D8" s="28">
        <v>142</v>
      </c>
      <c r="E8" s="28" t="s">
        <v>445</v>
      </c>
      <c r="F8" s="28" t="s">
        <v>446</v>
      </c>
    </row>
    <row r="9" ht="24.95" customHeight="1" spans="1:6">
      <c r="A9" s="28">
        <v>7</v>
      </c>
      <c r="B9" s="28" t="s">
        <v>449</v>
      </c>
      <c r="C9" s="28" t="s">
        <v>450</v>
      </c>
      <c r="D9" s="28">
        <v>173</v>
      </c>
      <c r="E9" s="28" t="s">
        <v>445</v>
      </c>
      <c r="F9" s="28" t="s">
        <v>446</v>
      </c>
    </row>
    <row r="10" ht="24.95" customHeight="1" spans="1:6">
      <c r="A10" s="28">
        <v>8</v>
      </c>
      <c r="B10" s="28" t="s">
        <v>451</v>
      </c>
      <c r="C10" s="28" t="s">
        <v>452</v>
      </c>
      <c r="D10" s="28">
        <v>205</v>
      </c>
      <c r="E10" s="28" t="s">
        <v>445</v>
      </c>
      <c r="F10" s="28" t="s">
        <v>446</v>
      </c>
    </row>
    <row r="11" ht="24.95" customHeight="1" spans="1:6">
      <c r="A11" s="28">
        <v>9</v>
      </c>
      <c r="B11" s="28" t="s">
        <v>453</v>
      </c>
      <c r="C11" s="28" t="s">
        <v>454</v>
      </c>
      <c r="D11" s="28">
        <v>230</v>
      </c>
      <c r="E11" s="28" t="s">
        <v>445</v>
      </c>
      <c r="F11" s="28" t="s">
        <v>446</v>
      </c>
    </row>
    <row r="12" ht="24.95" customHeight="1" spans="1:6">
      <c r="A12" s="28">
        <v>10</v>
      </c>
      <c r="B12" s="28" t="s">
        <v>455</v>
      </c>
      <c r="C12" s="28" t="s">
        <v>456</v>
      </c>
      <c r="D12" s="28">
        <v>259</v>
      </c>
      <c r="E12" s="28" t="s">
        <v>445</v>
      </c>
      <c r="F12" s="28" t="s">
        <v>446</v>
      </c>
    </row>
    <row r="13" ht="24.95" customHeight="1" spans="1:6">
      <c r="A13" s="28">
        <v>11</v>
      </c>
      <c r="B13" s="28" t="s">
        <v>457</v>
      </c>
      <c r="C13" s="28" t="s">
        <v>458</v>
      </c>
      <c r="D13" s="28">
        <v>287</v>
      </c>
      <c r="E13" s="28" t="s">
        <v>445</v>
      </c>
      <c r="F13" s="28" t="s">
        <v>446</v>
      </c>
    </row>
    <row r="14" ht="24.95" customHeight="1" spans="1:6">
      <c r="A14" s="28">
        <v>12</v>
      </c>
      <c r="B14" s="28" t="s">
        <v>459</v>
      </c>
      <c r="C14" s="31" t="s">
        <v>460</v>
      </c>
      <c r="D14" s="31">
        <v>309</v>
      </c>
      <c r="E14" s="31" t="s">
        <v>461</v>
      </c>
      <c r="F14" s="31" t="s">
        <v>462</v>
      </c>
    </row>
    <row r="15" ht="24.95" customHeight="1" spans="1:6">
      <c r="A15" s="28">
        <v>13</v>
      </c>
      <c r="B15" s="28" t="s">
        <v>463</v>
      </c>
      <c r="C15" s="31" t="s">
        <v>464</v>
      </c>
      <c r="D15" s="31">
        <v>344</v>
      </c>
      <c r="E15" s="31" t="s">
        <v>465</v>
      </c>
      <c r="F15" s="31" t="s">
        <v>462</v>
      </c>
    </row>
    <row r="16" ht="24.95" customHeight="1" spans="1:6">
      <c r="A16" s="28">
        <v>14</v>
      </c>
      <c r="B16" s="28" t="s">
        <v>466</v>
      </c>
      <c r="C16" s="31" t="s">
        <v>467</v>
      </c>
      <c r="D16" s="31">
        <v>372</v>
      </c>
      <c r="E16" s="31" t="s">
        <v>468</v>
      </c>
      <c r="F16" s="31" t="s">
        <v>462</v>
      </c>
    </row>
    <row r="17" ht="24.95" customHeight="1" spans="1:6">
      <c r="A17" s="28">
        <v>15</v>
      </c>
      <c r="B17" s="28" t="s">
        <v>469</v>
      </c>
      <c r="C17" s="31" t="s">
        <v>470</v>
      </c>
      <c r="D17" s="31">
        <v>402</v>
      </c>
      <c r="E17" s="31" t="s">
        <v>471</v>
      </c>
      <c r="F17" s="31" t="s">
        <v>462</v>
      </c>
    </row>
    <row r="18" ht="24.95" customHeight="1" spans="1:6">
      <c r="A18" s="28">
        <v>16</v>
      </c>
      <c r="B18" s="28" t="s">
        <v>472</v>
      </c>
      <c r="C18" s="31" t="s">
        <v>473</v>
      </c>
      <c r="D18" s="31">
        <v>426</v>
      </c>
      <c r="E18" s="31" t="s">
        <v>474</v>
      </c>
      <c r="F18" s="31" t="s">
        <v>462</v>
      </c>
    </row>
    <row r="19" ht="24.95" customHeight="1" spans="1:6">
      <c r="A19" s="28">
        <v>17</v>
      </c>
      <c r="B19" s="28" t="s">
        <v>475</v>
      </c>
      <c r="C19" s="31" t="s">
        <v>476</v>
      </c>
      <c r="D19" s="31">
        <v>458</v>
      </c>
      <c r="E19" s="31" t="s">
        <v>477</v>
      </c>
      <c r="F19" s="31" t="s">
        <v>462</v>
      </c>
    </row>
    <row r="20" ht="24.95" customHeight="1" spans="1:6">
      <c r="A20" s="28">
        <v>18</v>
      </c>
      <c r="B20" s="28" t="s">
        <v>478</v>
      </c>
      <c r="C20" s="31" t="s">
        <v>479</v>
      </c>
      <c r="D20" s="31">
        <v>491</v>
      </c>
      <c r="E20" s="31" t="s">
        <v>480</v>
      </c>
      <c r="F20" s="31" t="s">
        <v>462</v>
      </c>
    </row>
    <row r="21" ht="24.95" customHeight="1" spans="1:6">
      <c r="A21" s="28">
        <v>19</v>
      </c>
      <c r="B21" s="28" t="s">
        <v>481</v>
      </c>
      <c r="C21" s="46" t="s">
        <v>482</v>
      </c>
      <c r="D21" s="28">
        <v>522.2</v>
      </c>
      <c r="E21" s="29" t="s">
        <v>483</v>
      </c>
      <c r="F21" s="28" t="s">
        <v>484</v>
      </c>
    </row>
    <row r="22" ht="24.95" customHeight="1" spans="1:6">
      <c r="A22" s="28">
        <v>20</v>
      </c>
      <c r="B22" s="28" t="s">
        <v>485</v>
      </c>
      <c r="C22" s="28" t="s">
        <v>486</v>
      </c>
      <c r="D22" s="28">
        <v>551.4</v>
      </c>
      <c r="E22" s="28" t="s">
        <v>487</v>
      </c>
      <c r="F22" s="28" t="s">
        <v>484</v>
      </c>
    </row>
    <row r="23" ht="24.95" customHeight="1" spans="1:6">
      <c r="A23" s="28">
        <v>21</v>
      </c>
      <c r="B23" s="28" t="s">
        <v>488</v>
      </c>
      <c r="C23" s="28" t="s">
        <v>489</v>
      </c>
      <c r="D23" s="28">
        <v>579</v>
      </c>
      <c r="E23" s="28" t="s">
        <v>490</v>
      </c>
      <c r="F23" s="28" t="s">
        <v>491</v>
      </c>
    </row>
    <row r="24" ht="24.95" customHeight="1" spans="1:6">
      <c r="A24" s="28">
        <v>22</v>
      </c>
      <c r="B24" s="28" t="s">
        <v>492</v>
      </c>
      <c r="C24" s="28" t="s">
        <v>493</v>
      </c>
      <c r="D24" s="28">
        <v>598</v>
      </c>
      <c r="E24" s="28" t="s">
        <v>492</v>
      </c>
      <c r="F24" s="28" t="s">
        <v>491</v>
      </c>
    </row>
    <row r="25" ht="24.95" customHeight="1" spans="1:6">
      <c r="A25" s="28">
        <v>23</v>
      </c>
      <c r="B25" s="28" t="s">
        <v>494</v>
      </c>
      <c r="C25" s="28" t="s">
        <v>495</v>
      </c>
      <c r="D25" s="28">
        <v>629.051</v>
      </c>
      <c r="E25" s="28" t="s">
        <v>496</v>
      </c>
      <c r="F25" s="28" t="s">
        <v>497</v>
      </c>
    </row>
    <row r="26" ht="24.95" customHeight="1" spans="1:6">
      <c r="A26" s="28">
        <v>24</v>
      </c>
      <c r="B26" s="28" t="s">
        <v>498</v>
      </c>
      <c r="C26" s="28" t="s">
        <v>499</v>
      </c>
      <c r="D26" s="28">
        <v>659.907</v>
      </c>
      <c r="E26" s="28" t="s">
        <v>500</v>
      </c>
      <c r="F26" s="28" t="s">
        <v>497</v>
      </c>
    </row>
    <row r="27" ht="24.95" customHeight="1" spans="1:6">
      <c r="A27" s="28">
        <v>25</v>
      </c>
      <c r="B27" s="28" t="s">
        <v>501</v>
      </c>
      <c r="C27" s="28" t="s">
        <v>502</v>
      </c>
      <c r="D27" s="28">
        <v>693.633</v>
      </c>
      <c r="E27" s="28" t="s">
        <v>503</v>
      </c>
      <c r="F27" s="28" t="s">
        <v>497</v>
      </c>
    </row>
    <row r="28" ht="24.95" customHeight="1" spans="1:6">
      <c r="A28" s="28">
        <v>26</v>
      </c>
      <c r="B28" s="28" t="s">
        <v>504</v>
      </c>
      <c r="C28" s="28" t="s">
        <v>505</v>
      </c>
      <c r="D28" s="28">
        <v>720.987</v>
      </c>
      <c r="E28" s="28" t="s">
        <v>503</v>
      </c>
      <c r="F28" s="28" t="s">
        <v>497</v>
      </c>
    </row>
    <row r="29" ht="24.95" customHeight="1" spans="1:6">
      <c r="A29" s="28">
        <v>27</v>
      </c>
      <c r="B29" s="28" t="s">
        <v>506</v>
      </c>
      <c r="C29" s="28" t="s">
        <v>507</v>
      </c>
      <c r="D29" s="28">
        <v>740.806</v>
      </c>
      <c r="E29" s="28" t="s">
        <v>508</v>
      </c>
      <c r="F29" s="28" t="s">
        <v>289</v>
      </c>
    </row>
    <row r="30" ht="24.95" customHeight="1" spans="1:6">
      <c r="A30" s="28">
        <v>28</v>
      </c>
      <c r="B30" s="28" t="s">
        <v>509</v>
      </c>
      <c r="C30" s="28" t="s">
        <v>510</v>
      </c>
      <c r="D30" s="28">
        <v>772.601</v>
      </c>
      <c r="E30" s="28" t="s">
        <v>508</v>
      </c>
      <c r="F30" s="28" t="s">
        <v>289</v>
      </c>
    </row>
    <row r="31" ht="24.95" customHeight="1" spans="1:6">
      <c r="A31" s="28">
        <v>29</v>
      </c>
      <c r="B31" s="28" t="s">
        <v>511</v>
      </c>
      <c r="C31" s="28" t="s">
        <v>512</v>
      </c>
      <c r="D31" s="28">
        <v>805.801</v>
      </c>
      <c r="E31" s="28" t="s">
        <v>513</v>
      </c>
      <c r="F31" s="28" t="s">
        <v>289</v>
      </c>
    </row>
    <row r="32" ht="24.95" customHeight="1" spans="1:6">
      <c r="A32" s="28">
        <v>30</v>
      </c>
      <c r="B32" s="28" t="s">
        <v>514</v>
      </c>
      <c r="C32" s="28" t="s">
        <v>515</v>
      </c>
      <c r="D32" s="28">
        <v>838.799</v>
      </c>
      <c r="E32" s="37" t="s">
        <v>516</v>
      </c>
      <c r="F32" s="28" t="s">
        <v>289</v>
      </c>
    </row>
    <row r="33" ht="24.95" customHeight="1" spans="1:6">
      <c r="A33" s="28">
        <v>31</v>
      </c>
      <c r="B33" s="28" t="s">
        <v>517</v>
      </c>
      <c r="C33" s="47" t="s">
        <v>518</v>
      </c>
      <c r="D33" s="28">
        <v>862.371</v>
      </c>
      <c r="E33" s="37" t="s">
        <v>516</v>
      </c>
      <c r="F33" s="28" t="s">
        <v>289</v>
      </c>
    </row>
    <row r="34" ht="24.95" customHeight="1" spans="1:6">
      <c r="A34" s="28">
        <v>32</v>
      </c>
      <c r="B34" s="28" t="s">
        <v>519</v>
      </c>
      <c r="C34" s="28" t="s">
        <v>520</v>
      </c>
      <c r="D34" s="28">
        <v>892.36</v>
      </c>
      <c r="E34" s="28" t="s">
        <v>521</v>
      </c>
      <c r="F34" s="28" t="s">
        <v>522</v>
      </c>
    </row>
    <row r="35" ht="24.95" customHeight="1" spans="1:6">
      <c r="A35" s="28">
        <v>33</v>
      </c>
      <c r="B35" s="28" t="s">
        <v>523</v>
      </c>
      <c r="C35" s="28" t="s">
        <v>524</v>
      </c>
      <c r="D35" s="28">
        <v>925.414</v>
      </c>
      <c r="E35" s="28" t="s">
        <v>521</v>
      </c>
      <c r="F35" s="28" t="s">
        <v>522</v>
      </c>
    </row>
    <row r="36" ht="24.95" customHeight="1" spans="1:6">
      <c r="A36" s="28">
        <v>34</v>
      </c>
      <c r="B36" s="28" t="s">
        <v>525</v>
      </c>
      <c r="C36" s="28" t="s">
        <v>526</v>
      </c>
      <c r="D36" s="28">
        <v>956.414</v>
      </c>
      <c r="E36" s="28" t="s">
        <v>521</v>
      </c>
      <c r="F36" s="28" t="s">
        <v>522</v>
      </c>
    </row>
    <row r="37" ht="24.95" customHeight="1" spans="1:6">
      <c r="A37" s="28">
        <v>35</v>
      </c>
      <c r="B37" s="28" t="s">
        <v>527</v>
      </c>
      <c r="C37" s="28" t="s">
        <v>528</v>
      </c>
      <c r="D37" s="40">
        <v>986</v>
      </c>
      <c r="E37" s="28" t="s">
        <v>521</v>
      </c>
      <c r="F37" s="28" t="s">
        <v>302</v>
      </c>
    </row>
    <row r="38" ht="24.95" customHeight="1" spans="1:6">
      <c r="A38" s="28">
        <v>36</v>
      </c>
      <c r="B38" s="28" t="s">
        <v>529</v>
      </c>
      <c r="C38" s="28" t="s">
        <v>530</v>
      </c>
      <c r="D38" s="40">
        <v>1017</v>
      </c>
      <c r="E38" s="28" t="s">
        <v>310</v>
      </c>
      <c r="F38" s="28" t="s">
        <v>302</v>
      </c>
    </row>
    <row r="39" ht="24.95" customHeight="1" spans="1:6">
      <c r="A39" s="28">
        <v>37</v>
      </c>
      <c r="B39" s="28" t="s">
        <v>531</v>
      </c>
      <c r="C39" s="28" t="s">
        <v>532</v>
      </c>
      <c r="D39" s="40">
        <v>1047</v>
      </c>
      <c r="E39" s="28" t="s">
        <v>310</v>
      </c>
      <c r="F39" s="28" t="s">
        <v>302</v>
      </c>
    </row>
    <row r="40" ht="24.95" customHeight="1" spans="1:6">
      <c r="A40" s="28">
        <v>38</v>
      </c>
      <c r="B40" s="28" t="s">
        <v>533</v>
      </c>
      <c r="C40" s="28" t="s">
        <v>534</v>
      </c>
      <c r="D40" s="40">
        <v>1079</v>
      </c>
      <c r="E40" s="28" t="s">
        <v>310</v>
      </c>
      <c r="F40" s="28" t="s">
        <v>302</v>
      </c>
    </row>
    <row r="41" ht="24.95" customHeight="1" spans="1:6">
      <c r="A41" s="28">
        <v>39</v>
      </c>
      <c r="B41" s="28" t="s">
        <v>535</v>
      </c>
      <c r="C41" s="28" t="s">
        <v>536</v>
      </c>
      <c r="D41" s="40">
        <v>1108</v>
      </c>
      <c r="E41" s="28" t="s">
        <v>310</v>
      </c>
      <c r="F41" s="28" t="s">
        <v>302</v>
      </c>
    </row>
    <row r="42" ht="24.95" customHeight="1" spans="1:6">
      <c r="A42" s="28">
        <v>40</v>
      </c>
      <c r="B42" s="28" t="s">
        <v>537</v>
      </c>
      <c r="C42" s="28" t="s">
        <v>538</v>
      </c>
      <c r="D42" s="40">
        <v>1136</v>
      </c>
      <c r="E42" s="28" t="s">
        <v>310</v>
      </c>
      <c r="F42" s="28" t="s">
        <v>302</v>
      </c>
    </row>
    <row r="43" ht="24.95" customHeight="1" spans="1:6">
      <c r="A43" s="28">
        <v>41</v>
      </c>
      <c r="B43" s="28" t="s">
        <v>539</v>
      </c>
      <c r="C43" s="28" t="s">
        <v>540</v>
      </c>
      <c r="D43" s="40">
        <v>1167</v>
      </c>
      <c r="E43" s="28" t="s">
        <v>310</v>
      </c>
      <c r="F43" s="28" t="s">
        <v>302</v>
      </c>
    </row>
    <row r="44" ht="24.95" customHeight="1" spans="1:6">
      <c r="A44" s="28">
        <v>42</v>
      </c>
      <c r="B44" s="28" t="s">
        <v>541</v>
      </c>
      <c r="C44" s="28" t="s">
        <v>542</v>
      </c>
      <c r="D44" s="40">
        <v>1198</v>
      </c>
      <c r="E44" s="28" t="s">
        <v>310</v>
      </c>
      <c r="F44" s="28" t="s">
        <v>313</v>
      </c>
    </row>
    <row r="45" ht="24.95" customHeight="1" spans="1:6">
      <c r="A45" s="28">
        <v>43</v>
      </c>
      <c r="B45" s="28" t="s">
        <v>543</v>
      </c>
      <c r="C45" s="28" t="s">
        <v>544</v>
      </c>
      <c r="D45" s="40">
        <v>1225</v>
      </c>
      <c r="E45" s="28" t="s">
        <v>310</v>
      </c>
      <c r="F45" s="28" t="s">
        <v>313</v>
      </c>
    </row>
    <row r="46" ht="24.95" customHeight="1" spans="1:6">
      <c r="A46" s="28">
        <v>44</v>
      </c>
      <c r="B46" s="28" t="s">
        <v>545</v>
      </c>
      <c r="C46" s="28" t="s">
        <v>546</v>
      </c>
      <c r="D46" s="40">
        <v>1250</v>
      </c>
      <c r="E46" s="28" t="s">
        <v>310</v>
      </c>
      <c r="F46" s="28" t="s">
        <v>313</v>
      </c>
    </row>
    <row r="47" ht="24.95" customHeight="1" spans="1:6">
      <c r="A47" s="28">
        <v>45</v>
      </c>
      <c r="B47" s="28" t="s">
        <v>547</v>
      </c>
      <c r="C47" s="28" t="s">
        <v>548</v>
      </c>
      <c r="D47" s="40">
        <v>1275</v>
      </c>
      <c r="E47" s="28" t="s">
        <v>310</v>
      </c>
      <c r="F47" s="28" t="s">
        <v>313</v>
      </c>
    </row>
    <row r="48" ht="24.95" customHeight="1" spans="1:6">
      <c r="A48" s="28">
        <v>46</v>
      </c>
      <c r="B48" s="28" t="s">
        <v>549</v>
      </c>
      <c r="C48" s="28" t="s">
        <v>550</v>
      </c>
      <c r="D48" s="40">
        <v>1305</v>
      </c>
      <c r="E48" s="28" t="s">
        <v>310</v>
      </c>
      <c r="F48" s="28" t="s">
        <v>313</v>
      </c>
    </row>
    <row r="49" ht="24.95" customHeight="1" spans="1:6">
      <c r="A49" s="28">
        <v>47</v>
      </c>
      <c r="B49" s="28" t="s">
        <v>551</v>
      </c>
      <c r="C49" s="28" t="s">
        <v>552</v>
      </c>
      <c r="D49" s="40">
        <v>1328</v>
      </c>
      <c r="E49" s="28" t="s">
        <v>310</v>
      </c>
      <c r="F49" s="28" t="s">
        <v>313</v>
      </c>
    </row>
    <row r="50" ht="24.95" customHeight="1" spans="1:6">
      <c r="A50" s="28">
        <v>48</v>
      </c>
      <c r="B50" s="28" t="s">
        <v>553</v>
      </c>
      <c r="C50" s="28" t="s">
        <v>554</v>
      </c>
      <c r="D50" s="28">
        <v>1359</v>
      </c>
      <c r="E50" s="23" t="s">
        <v>322</v>
      </c>
      <c r="F50" s="23" t="s">
        <v>323</v>
      </c>
    </row>
    <row r="51" ht="24.95" customHeight="1" spans="1:6">
      <c r="A51" s="28">
        <v>49</v>
      </c>
      <c r="B51" s="28" t="s">
        <v>555</v>
      </c>
      <c r="C51" s="28" t="s">
        <v>556</v>
      </c>
      <c r="D51" s="28">
        <v>1390</v>
      </c>
      <c r="E51" s="23" t="s">
        <v>322</v>
      </c>
      <c r="F51" s="23" t="s">
        <v>323</v>
      </c>
    </row>
    <row r="52" ht="24.95" customHeight="1" spans="1:6">
      <c r="A52" s="28">
        <v>50</v>
      </c>
      <c r="B52" s="28" t="s">
        <v>557</v>
      </c>
      <c r="C52" s="28" t="s">
        <v>558</v>
      </c>
      <c r="D52" s="28">
        <v>1420</v>
      </c>
      <c r="E52" s="23" t="s">
        <v>322</v>
      </c>
      <c r="F52" s="23" t="s">
        <v>323</v>
      </c>
    </row>
    <row r="53" ht="24.95" customHeight="1" spans="1:6">
      <c r="A53" s="28">
        <v>51</v>
      </c>
      <c r="B53" s="28" t="s">
        <v>559</v>
      </c>
      <c r="C53" s="28" t="s">
        <v>560</v>
      </c>
      <c r="D53" s="28">
        <v>1454</v>
      </c>
      <c r="E53" s="23" t="s">
        <v>322</v>
      </c>
      <c r="F53" s="23" t="s">
        <v>323</v>
      </c>
    </row>
    <row r="54" ht="24.95" customHeight="1" spans="1:6">
      <c r="A54" s="28">
        <v>52</v>
      </c>
      <c r="B54" s="31" t="s">
        <v>561</v>
      </c>
      <c r="C54" s="31" t="s">
        <v>562</v>
      </c>
      <c r="D54" s="42">
        <v>1487</v>
      </c>
      <c r="E54" s="43" t="s">
        <v>332</v>
      </c>
      <c r="F54" s="43" t="s">
        <v>333</v>
      </c>
    </row>
    <row r="55" ht="24.95" customHeight="1" spans="1:6">
      <c r="A55" s="28">
        <v>53</v>
      </c>
      <c r="B55" s="31" t="s">
        <v>563</v>
      </c>
      <c r="C55" s="31" t="s">
        <v>564</v>
      </c>
      <c r="D55" s="42">
        <v>1517</v>
      </c>
      <c r="E55" s="43" t="s">
        <v>339</v>
      </c>
      <c r="F55" s="43" t="s">
        <v>333</v>
      </c>
    </row>
    <row r="56" ht="24.95" customHeight="1" spans="1:6">
      <c r="A56" s="28">
        <v>54</v>
      </c>
      <c r="B56" s="31" t="s">
        <v>565</v>
      </c>
      <c r="C56" s="31" t="s">
        <v>566</v>
      </c>
      <c r="D56" s="42">
        <v>1547</v>
      </c>
      <c r="E56" s="43" t="s">
        <v>567</v>
      </c>
      <c r="F56" s="43" t="s">
        <v>333</v>
      </c>
    </row>
    <row r="57" ht="24.95" customHeight="1" spans="1:6">
      <c r="A57" s="28">
        <v>55</v>
      </c>
      <c r="B57" s="28" t="s">
        <v>568</v>
      </c>
      <c r="C57" s="28" t="s">
        <v>569</v>
      </c>
      <c r="D57" s="28">
        <v>1578</v>
      </c>
      <c r="E57" s="28" t="s">
        <v>342</v>
      </c>
      <c r="F57" s="28" t="s">
        <v>343</v>
      </c>
    </row>
    <row r="58" ht="24.95" customHeight="1" spans="1:6">
      <c r="A58" s="28">
        <v>56</v>
      </c>
      <c r="B58" s="28" t="s">
        <v>570</v>
      </c>
      <c r="C58" s="28" t="s">
        <v>571</v>
      </c>
      <c r="D58" s="28">
        <v>1609</v>
      </c>
      <c r="E58" s="28" t="s">
        <v>349</v>
      </c>
      <c r="F58" s="28" t="s">
        <v>343</v>
      </c>
    </row>
    <row r="59" ht="24.95" customHeight="1" spans="1:6">
      <c r="A59" s="28">
        <v>57</v>
      </c>
      <c r="B59" s="28" t="s">
        <v>572</v>
      </c>
      <c r="C59" s="28" t="s">
        <v>573</v>
      </c>
      <c r="D59" s="28">
        <v>1638</v>
      </c>
      <c r="E59" s="28" t="s">
        <v>349</v>
      </c>
      <c r="F59" s="28" t="s">
        <v>343</v>
      </c>
    </row>
    <row r="60" ht="24.95" customHeight="1" spans="1:6">
      <c r="A60" s="28">
        <v>58</v>
      </c>
      <c r="B60" s="28" t="s">
        <v>574</v>
      </c>
      <c r="C60" s="28" t="s">
        <v>575</v>
      </c>
      <c r="D60" s="28">
        <v>1665</v>
      </c>
      <c r="E60" s="28" t="s">
        <v>576</v>
      </c>
      <c r="F60" s="28" t="s">
        <v>343</v>
      </c>
    </row>
    <row r="61" ht="24.95" customHeight="1" spans="1:6">
      <c r="A61" s="28">
        <v>59</v>
      </c>
      <c r="B61" s="28" t="s">
        <v>577</v>
      </c>
      <c r="C61" s="28" t="s">
        <v>578</v>
      </c>
      <c r="D61" s="28">
        <v>1691.6</v>
      </c>
      <c r="E61" s="28" t="s">
        <v>579</v>
      </c>
      <c r="F61" s="28" t="s">
        <v>360</v>
      </c>
    </row>
    <row r="62" ht="24.95" customHeight="1" spans="1:6">
      <c r="A62" s="28">
        <v>60</v>
      </c>
      <c r="B62" s="28" t="s">
        <v>580</v>
      </c>
      <c r="C62" s="28" t="s">
        <v>581</v>
      </c>
      <c r="D62" s="28">
        <v>1720.2</v>
      </c>
      <c r="E62" s="28" t="s">
        <v>582</v>
      </c>
      <c r="F62" s="28" t="s">
        <v>360</v>
      </c>
    </row>
    <row r="63" ht="24.95" customHeight="1" spans="1:6">
      <c r="A63" s="28">
        <v>61</v>
      </c>
      <c r="B63" s="28" t="s">
        <v>583</v>
      </c>
      <c r="C63" s="28" t="s">
        <v>584</v>
      </c>
      <c r="D63" s="28">
        <v>1742.6</v>
      </c>
      <c r="E63" s="28" t="s">
        <v>585</v>
      </c>
      <c r="F63" s="28" t="s">
        <v>360</v>
      </c>
    </row>
    <row r="64" ht="24.95" customHeight="1" spans="1:6">
      <c r="A64" s="28">
        <v>62</v>
      </c>
      <c r="B64" s="28" t="s">
        <v>586</v>
      </c>
      <c r="C64" s="28" t="s">
        <v>587</v>
      </c>
      <c r="D64" s="28">
        <v>1771.62</v>
      </c>
      <c r="E64" s="28" t="s">
        <v>588</v>
      </c>
      <c r="F64" s="28" t="s">
        <v>360</v>
      </c>
    </row>
    <row r="65" ht="24.95" customHeight="1" spans="1:6">
      <c r="A65" s="28">
        <v>63</v>
      </c>
      <c r="B65" s="28" t="s">
        <v>589</v>
      </c>
      <c r="C65" s="28" t="s">
        <v>590</v>
      </c>
      <c r="D65" s="28">
        <v>1802</v>
      </c>
      <c r="E65" s="28" t="s">
        <v>591</v>
      </c>
      <c r="F65" s="28" t="s">
        <v>360</v>
      </c>
    </row>
    <row r="66" ht="24.95" customHeight="1" spans="1:6">
      <c r="A66" s="28">
        <v>64</v>
      </c>
      <c r="B66" s="28" t="s">
        <v>592</v>
      </c>
      <c r="C66" s="28" t="s">
        <v>593</v>
      </c>
      <c r="D66" s="28">
        <v>1828.9</v>
      </c>
      <c r="E66" s="28" t="s">
        <v>375</v>
      </c>
      <c r="F66" s="28" t="s">
        <v>376</v>
      </c>
    </row>
    <row r="67" ht="24.95" customHeight="1" spans="1:6">
      <c r="A67" s="28">
        <v>65</v>
      </c>
      <c r="B67" s="28" t="s">
        <v>594</v>
      </c>
      <c r="C67" s="28" t="s">
        <v>595</v>
      </c>
      <c r="D67" s="28">
        <v>1858.04</v>
      </c>
      <c r="E67" s="28" t="s">
        <v>375</v>
      </c>
      <c r="F67" s="28" t="s">
        <v>376</v>
      </c>
    </row>
    <row r="68" ht="24.95" customHeight="1" spans="1:6">
      <c r="A68" s="28">
        <v>66</v>
      </c>
      <c r="B68" s="28" t="s">
        <v>596</v>
      </c>
      <c r="C68" s="28" t="s">
        <v>597</v>
      </c>
      <c r="D68" s="28">
        <v>1887.5</v>
      </c>
      <c r="E68" s="28" t="s">
        <v>375</v>
      </c>
      <c r="F68" s="28" t="s">
        <v>376</v>
      </c>
    </row>
    <row r="69" ht="24.95" customHeight="1" spans="1:6">
      <c r="A69" s="28">
        <v>67</v>
      </c>
      <c r="B69" s="28" t="s">
        <v>52</v>
      </c>
      <c r="C69" s="28" t="s">
        <v>598</v>
      </c>
      <c r="D69" s="28">
        <v>1909.1</v>
      </c>
      <c r="E69" s="28" t="s">
        <v>375</v>
      </c>
      <c r="F69" s="28" t="s">
        <v>376</v>
      </c>
    </row>
    <row r="70" ht="24.95" customHeight="1" spans="1:6">
      <c r="A70" s="28">
        <v>68</v>
      </c>
      <c r="B70" s="28" t="s">
        <v>599</v>
      </c>
      <c r="C70" s="28" t="s">
        <v>600</v>
      </c>
      <c r="D70" s="28">
        <v>1934.5</v>
      </c>
      <c r="E70" s="28" t="s">
        <v>375</v>
      </c>
      <c r="F70" s="28" t="s">
        <v>376</v>
      </c>
    </row>
    <row r="71" ht="24.95" customHeight="1" spans="1:6">
      <c r="A71" s="28">
        <v>69</v>
      </c>
      <c r="B71" s="44" t="s">
        <v>601</v>
      </c>
      <c r="C71" s="28" t="s">
        <v>602</v>
      </c>
      <c r="D71" s="28">
        <v>1964.76</v>
      </c>
      <c r="E71" s="45" t="s">
        <v>603</v>
      </c>
      <c r="F71" s="45" t="s">
        <v>389</v>
      </c>
    </row>
    <row r="72" ht="24.95" customHeight="1" spans="1:6">
      <c r="A72" s="28">
        <v>70</v>
      </c>
      <c r="B72" s="44" t="s">
        <v>604</v>
      </c>
      <c r="C72" s="28" t="s">
        <v>605</v>
      </c>
      <c r="D72" s="28">
        <v>1995.88</v>
      </c>
      <c r="E72" s="45" t="s">
        <v>606</v>
      </c>
      <c r="F72" s="45" t="s">
        <v>389</v>
      </c>
    </row>
    <row r="73" ht="24.95" customHeight="1" spans="1:6">
      <c r="A73" s="28">
        <v>71</v>
      </c>
      <c r="B73" s="44" t="s">
        <v>607</v>
      </c>
      <c r="C73" s="28" t="s">
        <v>608</v>
      </c>
      <c r="D73" s="28">
        <v>2024.89</v>
      </c>
      <c r="E73" s="45" t="s">
        <v>609</v>
      </c>
      <c r="F73" s="45" t="s">
        <v>389</v>
      </c>
    </row>
    <row r="74" ht="24.95" customHeight="1" spans="1:6">
      <c r="A74" s="28">
        <v>72</v>
      </c>
      <c r="B74" s="44" t="s">
        <v>53</v>
      </c>
      <c r="C74" s="28" t="s">
        <v>610</v>
      </c>
      <c r="D74" s="28">
        <v>2055.421</v>
      </c>
      <c r="E74" s="45" t="s">
        <v>611</v>
      </c>
      <c r="F74" s="45" t="s">
        <v>399</v>
      </c>
    </row>
    <row r="75" ht="24.95" customHeight="1" spans="1:6">
      <c r="A75" s="28">
        <v>73</v>
      </c>
      <c r="B75" s="44" t="s">
        <v>612</v>
      </c>
      <c r="C75" s="28" t="s">
        <v>613</v>
      </c>
      <c r="D75" s="28">
        <v>2082.357</v>
      </c>
      <c r="E75" s="45" t="s">
        <v>614</v>
      </c>
      <c r="F75" s="45" t="s">
        <v>399</v>
      </c>
    </row>
    <row r="76" ht="24.95" customHeight="1" spans="1:6">
      <c r="A76" s="28">
        <v>74</v>
      </c>
      <c r="B76" s="44" t="s">
        <v>615</v>
      </c>
      <c r="C76" s="28" t="s">
        <v>616</v>
      </c>
      <c r="D76" s="28">
        <v>2108.25</v>
      </c>
      <c r="E76" s="45" t="s">
        <v>617</v>
      </c>
      <c r="F76" s="45" t="s">
        <v>399</v>
      </c>
    </row>
    <row r="77" ht="24.95" customHeight="1" spans="1:6">
      <c r="A77" s="28">
        <v>75</v>
      </c>
      <c r="B77" s="44" t="s">
        <v>618</v>
      </c>
      <c r="C77" s="28" t="s">
        <v>619</v>
      </c>
      <c r="D77" s="28">
        <v>2135.047</v>
      </c>
      <c r="E77" s="45" t="s">
        <v>620</v>
      </c>
      <c r="F77" s="45" t="s">
        <v>399</v>
      </c>
    </row>
    <row r="78" ht="24.95" customHeight="1" spans="1:6">
      <c r="A78" s="28">
        <v>76</v>
      </c>
      <c r="B78" s="44" t="s">
        <v>621</v>
      </c>
      <c r="C78" s="28" t="s">
        <v>622</v>
      </c>
      <c r="D78" s="28">
        <v>2163.91</v>
      </c>
      <c r="E78" s="45" t="s">
        <v>623</v>
      </c>
      <c r="F78" s="45" t="s">
        <v>399</v>
      </c>
    </row>
    <row r="79" ht="24.95" customHeight="1" spans="1:6">
      <c r="A79" s="28">
        <v>77</v>
      </c>
      <c r="B79" s="44" t="s">
        <v>624</v>
      </c>
      <c r="C79" s="28" t="s">
        <v>625</v>
      </c>
      <c r="D79" s="28">
        <v>2198.154</v>
      </c>
      <c r="E79" s="45" t="s">
        <v>626</v>
      </c>
      <c r="F79" s="45" t="s">
        <v>399</v>
      </c>
    </row>
    <row r="80" ht="24.95" customHeight="1" spans="1:6">
      <c r="A80" s="28">
        <v>78</v>
      </c>
      <c r="B80" s="44" t="s">
        <v>627</v>
      </c>
      <c r="C80" s="28" t="s">
        <v>628</v>
      </c>
      <c r="D80" s="28">
        <v>2228.067</v>
      </c>
      <c r="E80" s="45" t="s">
        <v>629</v>
      </c>
      <c r="F80" s="45" t="s">
        <v>630</v>
      </c>
    </row>
    <row r="81" ht="24.95" customHeight="1" spans="1:6">
      <c r="A81" s="28">
        <v>79</v>
      </c>
      <c r="B81" s="44" t="s">
        <v>50</v>
      </c>
      <c r="C81" s="28" t="s">
        <v>631</v>
      </c>
      <c r="D81" s="28">
        <v>2258.067</v>
      </c>
      <c r="E81" s="45" t="s">
        <v>632</v>
      </c>
      <c r="F81" s="45" t="s">
        <v>630</v>
      </c>
    </row>
    <row r="82" ht="24.95" customHeight="1" spans="1:6">
      <c r="A82" s="28">
        <v>80</v>
      </c>
      <c r="B82" s="44" t="s">
        <v>633</v>
      </c>
      <c r="C82" s="28" t="s">
        <v>634</v>
      </c>
      <c r="D82" s="28">
        <v>2288.149</v>
      </c>
      <c r="E82" s="45" t="s">
        <v>635</v>
      </c>
      <c r="F82" s="45" t="s">
        <v>630</v>
      </c>
    </row>
    <row r="83" ht="24.95" customHeight="1" spans="1:6">
      <c r="A83" s="28">
        <v>81</v>
      </c>
      <c r="B83" s="44" t="s">
        <v>636</v>
      </c>
      <c r="C83" s="28" t="s">
        <v>637</v>
      </c>
      <c r="D83" s="28">
        <v>2319.149</v>
      </c>
      <c r="E83" s="45" t="s">
        <v>427</v>
      </c>
      <c r="F83" s="45" t="s">
        <v>630</v>
      </c>
    </row>
    <row r="84" ht="24.95" customHeight="1" spans="1:6">
      <c r="A84" s="28">
        <v>82</v>
      </c>
      <c r="B84" s="28" t="s">
        <v>638</v>
      </c>
      <c r="C84" s="28"/>
      <c r="D84" s="28"/>
      <c r="E84" s="28"/>
      <c r="F84" s="28"/>
    </row>
    <row r="85" ht="24.95" customHeight="1" spans="1:6">
      <c r="A85" s="28">
        <v>83</v>
      </c>
      <c r="B85" s="28" t="s">
        <v>639</v>
      </c>
      <c r="C85" s="28"/>
      <c r="D85" s="28"/>
      <c r="E85" s="28"/>
      <c r="F85" s="28"/>
    </row>
    <row r="86" ht="24.95" customHeight="1" spans="1:6">
      <c r="A86" s="28">
        <v>84</v>
      </c>
      <c r="B86" s="28" t="s">
        <v>640</v>
      </c>
      <c r="C86" s="28"/>
      <c r="D86" s="28"/>
      <c r="E86" s="28"/>
      <c r="F86" s="28"/>
    </row>
    <row r="87" ht="24.95" customHeight="1" spans="1:6">
      <c r="A87" s="28">
        <v>85</v>
      </c>
      <c r="B87" s="28" t="s">
        <v>641</v>
      </c>
      <c r="C87" s="28"/>
      <c r="D87" s="28"/>
      <c r="E87" s="28"/>
      <c r="F87" s="28"/>
    </row>
    <row r="88" ht="24.95" customHeight="1" spans="1:6">
      <c r="A88" s="28">
        <v>86</v>
      </c>
      <c r="B88" s="28" t="s">
        <v>642</v>
      </c>
      <c r="C88" s="28"/>
      <c r="D88" s="28">
        <f>D81+150</f>
        <v>2408.067</v>
      </c>
      <c r="E88" s="28"/>
      <c r="F88" s="28"/>
    </row>
  </sheetData>
  <mergeCells count="1">
    <mergeCell ref="A1:F1"/>
  </mergeCells>
  <pageMargins left="0.699305555555556" right="0.699305555555556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J84"/>
  <sheetViews>
    <sheetView workbookViewId="0">
      <selection activeCell="K24" sqref="K24"/>
    </sheetView>
  </sheetViews>
  <sheetFormatPr defaultColWidth="9" defaultRowHeight="15"/>
  <cols>
    <col min="1" max="1" width="5.25" style="21" customWidth="1"/>
    <col min="2" max="2" width="19.25" style="21" customWidth="1"/>
    <col min="3" max="3" width="24.5" style="21" customWidth="1"/>
    <col min="4" max="4" width="11.125" style="21" customWidth="1"/>
    <col min="5" max="5" width="13.5" style="21" customWidth="1"/>
    <col min="6" max="6" width="16.25" style="21" customWidth="1"/>
    <col min="7" max="16384" width="9" style="21"/>
  </cols>
  <sheetData>
    <row r="1" ht="33.75" customHeight="1" spans="1:6">
      <c r="A1" s="22" t="s">
        <v>643</v>
      </c>
      <c r="B1" s="22"/>
      <c r="C1" s="22"/>
      <c r="D1" s="22"/>
      <c r="E1" s="22"/>
      <c r="F1" s="22"/>
    </row>
    <row r="2" s="20" customFormat="1" ht="28" spans="1:10">
      <c r="A2" s="23" t="s">
        <v>1</v>
      </c>
      <c r="B2" s="23" t="s">
        <v>235</v>
      </c>
      <c r="C2" s="24" t="s">
        <v>236</v>
      </c>
      <c r="D2" s="25" t="s">
        <v>237</v>
      </c>
      <c r="E2" s="23" t="s">
        <v>238</v>
      </c>
      <c r="F2" s="23" t="s">
        <v>239</v>
      </c>
      <c r="G2" s="27" t="s">
        <v>241</v>
      </c>
      <c r="H2" s="27" t="s">
        <v>242</v>
      </c>
      <c r="I2" s="27" t="s">
        <v>243</v>
      </c>
      <c r="J2" s="27" t="s">
        <v>244</v>
      </c>
    </row>
    <row r="3" ht="24.95" customHeight="1" spans="1:10">
      <c r="A3" s="28">
        <v>1</v>
      </c>
      <c r="B3" s="28" t="s">
        <v>429</v>
      </c>
      <c r="C3" s="28" t="s">
        <v>644</v>
      </c>
      <c r="D3" s="28">
        <v>0</v>
      </c>
      <c r="E3" s="28" t="s">
        <v>431</v>
      </c>
      <c r="F3" s="28" t="s">
        <v>432</v>
      </c>
      <c r="G3" s="27" t="s">
        <v>433</v>
      </c>
      <c r="H3" s="27" t="s">
        <v>434</v>
      </c>
      <c r="I3" s="27" t="s">
        <v>68</v>
      </c>
      <c r="J3" s="19">
        <f>1000*3.14*(I3/2/1000)*(I3/2/1000)</f>
        <v>1097.1135194</v>
      </c>
    </row>
    <row r="4" ht="24.95" customHeight="1" spans="1:6">
      <c r="A4" s="28">
        <v>2</v>
      </c>
      <c r="B4" s="28" t="s">
        <v>435</v>
      </c>
      <c r="C4" s="28" t="s">
        <v>645</v>
      </c>
      <c r="D4" s="28">
        <v>30</v>
      </c>
      <c r="E4" s="28" t="s">
        <v>431</v>
      </c>
      <c r="F4" s="28" t="s">
        <v>432</v>
      </c>
    </row>
    <row r="5" ht="24.95" customHeight="1" spans="1:6">
      <c r="A5" s="28">
        <v>3</v>
      </c>
      <c r="B5" s="28" t="s">
        <v>438</v>
      </c>
      <c r="C5" s="28" t="s">
        <v>646</v>
      </c>
      <c r="D5" s="28">
        <v>46</v>
      </c>
      <c r="E5" s="28" t="s">
        <v>431</v>
      </c>
      <c r="F5" s="28" t="s">
        <v>432</v>
      </c>
    </row>
    <row r="6" ht="24.95" customHeight="1" spans="1:6">
      <c r="A6" s="28">
        <v>4</v>
      </c>
      <c r="B6" s="28" t="s">
        <v>441</v>
      </c>
      <c r="C6" s="28" t="s">
        <v>647</v>
      </c>
      <c r="D6" s="28">
        <v>75</v>
      </c>
      <c r="E6" s="28" t="s">
        <v>431</v>
      </c>
      <c r="F6" s="28" t="s">
        <v>432</v>
      </c>
    </row>
    <row r="7" ht="24.95" customHeight="1" spans="1:6">
      <c r="A7" s="28">
        <v>5</v>
      </c>
      <c r="B7" s="28" t="s">
        <v>443</v>
      </c>
      <c r="C7" s="28" t="s">
        <v>648</v>
      </c>
      <c r="D7" s="28">
        <v>106</v>
      </c>
      <c r="E7" s="28" t="s">
        <v>445</v>
      </c>
      <c r="F7" s="28" t="s">
        <v>446</v>
      </c>
    </row>
    <row r="8" ht="24.95" customHeight="1" spans="1:6">
      <c r="A8" s="28">
        <v>6</v>
      </c>
      <c r="B8" s="28" t="s">
        <v>447</v>
      </c>
      <c r="C8" s="28" t="s">
        <v>649</v>
      </c>
      <c r="D8" s="28">
        <v>142</v>
      </c>
      <c r="E8" s="28" t="s">
        <v>445</v>
      </c>
      <c r="F8" s="28" t="s">
        <v>446</v>
      </c>
    </row>
    <row r="9" ht="24.95" customHeight="1" spans="1:6">
      <c r="A9" s="28">
        <v>7</v>
      </c>
      <c r="B9" s="28" t="s">
        <v>449</v>
      </c>
      <c r="C9" s="28" t="s">
        <v>650</v>
      </c>
      <c r="D9" s="28">
        <v>173</v>
      </c>
      <c r="E9" s="28" t="s">
        <v>445</v>
      </c>
      <c r="F9" s="28" t="s">
        <v>446</v>
      </c>
    </row>
    <row r="10" ht="24.95" customHeight="1" spans="1:6">
      <c r="A10" s="28">
        <v>8</v>
      </c>
      <c r="B10" s="28" t="s">
        <v>451</v>
      </c>
      <c r="C10" s="28" t="s">
        <v>651</v>
      </c>
      <c r="D10" s="28">
        <v>205</v>
      </c>
      <c r="E10" s="28" t="s">
        <v>445</v>
      </c>
      <c r="F10" s="28" t="s">
        <v>446</v>
      </c>
    </row>
    <row r="11" ht="24.95" customHeight="1" spans="1:6">
      <c r="A11" s="28">
        <v>9</v>
      </c>
      <c r="B11" s="28" t="s">
        <v>453</v>
      </c>
      <c r="C11" s="28" t="s">
        <v>454</v>
      </c>
      <c r="D11" s="28">
        <v>230</v>
      </c>
      <c r="E11" s="28" t="s">
        <v>445</v>
      </c>
      <c r="F11" s="28" t="s">
        <v>446</v>
      </c>
    </row>
    <row r="12" ht="24.95" customHeight="1" spans="1:6">
      <c r="A12" s="28">
        <v>10</v>
      </c>
      <c r="B12" s="28" t="s">
        <v>455</v>
      </c>
      <c r="C12" s="28" t="s">
        <v>456</v>
      </c>
      <c r="D12" s="28">
        <v>259</v>
      </c>
      <c r="E12" s="28" t="s">
        <v>445</v>
      </c>
      <c r="F12" s="28" t="s">
        <v>446</v>
      </c>
    </row>
    <row r="13" ht="24.95" customHeight="1" spans="1:6">
      <c r="A13" s="28">
        <v>11</v>
      </c>
      <c r="B13" s="28" t="s">
        <v>457</v>
      </c>
      <c r="C13" s="28" t="s">
        <v>458</v>
      </c>
      <c r="D13" s="28">
        <v>287</v>
      </c>
      <c r="E13" s="28" t="s">
        <v>445</v>
      </c>
      <c r="F13" s="28" t="s">
        <v>446</v>
      </c>
    </row>
    <row r="14" ht="24.95" customHeight="1" spans="1:6">
      <c r="A14" s="28">
        <v>12</v>
      </c>
      <c r="B14" s="31" t="s">
        <v>459</v>
      </c>
      <c r="C14" s="28" t="s">
        <v>652</v>
      </c>
      <c r="D14" s="31">
        <v>311</v>
      </c>
      <c r="E14" s="31" t="s">
        <v>461</v>
      </c>
      <c r="F14" s="31" t="s">
        <v>462</v>
      </c>
    </row>
    <row r="15" ht="24.95" customHeight="1" spans="1:6">
      <c r="A15" s="28">
        <v>13</v>
      </c>
      <c r="B15" s="31" t="s">
        <v>463</v>
      </c>
      <c r="C15" s="28" t="s">
        <v>653</v>
      </c>
      <c r="D15" s="31">
        <v>345</v>
      </c>
      <c r="E15" s="31" t="s">
        <v>465</v>
      </c>
      <c r="F15" s="31" t="s">
        <v>462</v>
      </c>
    </row>
    <row r="16" ht="24.95" customHeight="1" spans="1:6">
      <c r="A16" s="28">
        <v>14</v>
      </c>
      <c r="B16" s="31" t="s">
        <v>466</v>
      </c>
      <c r="C16" s="28" t="s">
        <v>654</v>
      </c>
      <c r="D16" s="31">
        <v>373</v>
      </c>
      <c r="E16" s="31" t="s">
        <v>468</v>
      </c>
      <c r="F16" s="31" t="s">
        <v>462</v>
      </c>
    </row>
    <row r="17" ht="24.95" customHeight="1" spans="1:6">
      <c r="A17" s="28">
        <v>15</v>
      </c>
      <c r="B17" s="31" t="s">
        <v>469</v>
      </c>
      <c r="C17" s="28" t="s">
        <v>655</v>
      </c>
      <c r="D17" s="31">
        <v>404</v>
      </c>
      <c r="E17" s="31" t="s">
        <v>471</v>
      </c>
      <c r="F17" s="31" t="s">
        <v>462</v>
      </c>
    </row>
    <row r="18" ht="24.95" customHeight="1" spans="1:6">
      <c r="A18" s="28">
        <v>16</v>
      </c>
      <c r="B18" s="31" t="s">
        <v>472</v>
      </c>
      <c r="C18" s="28" t="s">
        <v>656</v>
      </c>
      <c r="D18" s="31">
        <v>427</v>
      </c>
      <c r="E18" s="31" t="s">
        <v>474</v>
      </c>
      <c r="F18" s="31" t="s">
        <v>462</v>
      </c>
    </row>
    <row r="19" ht="24.95" customHeight="1" spans="1:6">
      <c r="A19" s="28">
        <v>17</v>
      </c>
      <c r="B19" s="31" t="s">
        <v>475</v>
      </c>
      <c r="C19" s="28" t="s">
        <v>657</v>
      </c>
      <c r="D19" s="31">
        <v>461</v>
      </c>
      <c r="E19" s="31" t="s">
        <v>477</v>
      </c>
      <c r="F19" s="31" t="s">
        <v>462</v>
      </c>
    </row>
    <row r="20" ht="24.95" customHeight="1" spans="1:6">
      <c r="A20" s="28">
        <v>18</v>
      </c>
      <c r="B20" s="31" t="s">
        <v>478</v>
      </c>
      <c r="C20" s="28" t="s">
        <v>658</v>
      </c>
      <c r="D20" s="31">
        <v>496</v>
      </c>
      <c r="E20" s="31" t="s">
        <v>480</v>
      </c>
      <c r="F20" s="31" t="s">
        <v>462</v>
      </c>
    </row>
    <row r="21" ht="24.95" customHeight="1" spans="1:6">
      <c r="A21" s="28">
        <v>19</v>
      </c>
      <c r="B21" s="28" t="s">
        <v>481</v>
      </c>
      <c r="C21" s="28" t="s">
        <v>659</v>
      </c>
      <c r="D21" s="21">
        <v>527.3</v>
      </c>
      <c r="E21" s="36" t="s">
        <v>483</v>
      </c>
      <c r="F21" s="28" t="s">
        <v>484</v>
      </c>
    </row>
    <row r="22" ht="24.95" customHeight="1" spans="1:6">
      <c r="A22" s="28">
        <v>20</v>
      </c>
      <c r="B22" s="29" t="s">
        <v>660</v>
      </c>
      <c r="C22" s="28" t="s">
        <v>661</v>
      </c>
      <c r="D22" s="28">
        <v>556</v>
      </c>
      <c r="E22" s="28" t="s">
        <v>487</v>
      </c>
      <c r="F22" s="28" t="s">
        <v>484</v>
      </c>
    </row>
    <row r="23" ht="24.95" customHeight="1" spans="1:6">
      <c r="A23" s="28">
        <v>21</v>
      </c>
      <c r="B23" s="28" t="s">
        <v>299</v>
      </c>
      <c r="C23" s="28" t="s">
        <v>662</v>
      </c>
      <c r="D23" s="28">
        <v>792</v>
      </c>
      <c r="E23" s="28" t="s">
        <v>663</v>
      </c>
      <c r="F23" s="28" t="s">
        <v>664</v>
      </c>
    </row>
    <row r="24" ht="24.95" customHeight="1" spans="1:6">
      <c r="A24" s="28">
        <v>22</v>
      </c>
      <c r="B24" s="28" t="s">
        <v>494</v>
      </c>
      <c r="C24" s="28" t="s">
        <v>665</v>
      </c>
      <c r="D24" s="28">
        <v>633.714</v>
      </c>
      <c r="E24" s="28" t="s">
        <v>496</v>
      </c>
      <c r="F24" s="28" t="s">
        <v>497</v>
      </c>
    </row>
    <row r="25" s="35" customFormat="1" ht="24.95" customHeight="1" spans="1:6">
      <c r="A25" s="28">
        <v>23</v>
      </c>
      <c r="B25" s="28" t="s">
        <v>498</v>
      </c>
      <c r="C25" s="28" t="s">
        <v>666</v>
      </c>
      <c r="D25" s="28">
        <v>667.612</v>
      </c>
      <c r="E25" s="28" t="s">
        <v>500</v>
      </c>
      <c r="F25" s="28" t="s">
        <v>497</v>
      </c>
    </row>
    <row r="26" ht="24.95" customHeight="1" spans="1:6">
      <c r="A26" s="28">
        <v>24</v>
      </c>
      <c r="B26" s="28" t="s">
        <v>501</v>
      </c>
      <c r="C26" s="28" t="s">
        <v>667</v>
      </c>
      <c r="D26" s="28">
        <v>699.656</v>
      </c>
      <c r="E26" s="28" t="s">
        <v>503</v>
      </c>
      <c r="F26" s="28" t="s">
        <v>497</v>
      </c>
    </row>
    <row r="27" ht="24.95" customHeight="1" spans="1:6">
      <c r="A27" s="28">
        <v>25</v>
      </c>
      <c r="B27" s="28" t="s">
        <v>504</v>
      </c>
      <c r="C27" s="28" t="s">
        <v>668</v>
      </c>
      <c r="D27" s="28">
        <v>728.489</v>
      </c>
      <c r="E27" s="28" t="s">
        <v>503</v>
      </c>
      <c r="F27" s="28" t="s">
        <v>497</v>
      </c>
    </row>
    <row r="28" ht="24.95" customHeight="1" spans="1:6">
      <c r="A28" s="28">
        <v>27</v>
      </c>
      <c r="B28" s="28" t="s">
        <v>506</v>
      </c>
      <c r="C28" s="28" t="s">
        <v>669</v>
      </c>
      <c r="D28" s="28">
        <v>748.884</v>
      </c>
      <c r="E28" s="37" t="s">
        <v>508</v>
      </c>
      <c r="F28" s="28" t="s">
        <v>289</v>
      </c>
    </row>
    <row r="29" ht="24.95" customHeight="1" spans="1:6">
      <c r="A29" s="28">
        <v>28</v>
      </c>
      <c r="B29" s="28" t="s">
        <v>509</v>
      </c>
      <c r="C29" s="28" t="s">
        <v>670</v>
      </c>
      <c r="D29" s="28">
        <v>780.453</v>
      </c>
      <c r="E29" s="37" t="s">
        <v>508</v>
      </c>
      <c r="F29" s="28" t="s">
        <v>289</v>
      </c>
    </row>
    <row r="30" ht="24.95" customHeight="1" spans="1:6">
      <c r="A30" s="28">
        <v>29</v>
      </c>
      <c r="B30" s="28" t="s">
        <v>511</v>
      </c>
      <c r="C30" s="28" t="s">
        <v>671</v>
      </c>
      <c r="D30" s="28">
        <v>814.059</v>
      </c>
      <c r="E30" s="37" t="s">
        <v>513</v>
      </c>
      <c r="F30" s="28" t="s">
        <v>289</v>
      </c>
    </row>
    <row r="31" ht="24.95" customHeight="1" spans="1:6">
      <c r="A31" s="28">
        <v>30</v>
      </c>
      <c r="B31" s="28" t="s">
        <v>514</v>
      </c>
      <c r="C31" s="28" t="s">
        <v>672</v>
      </c>
      <c r="D31" s="28">
        <v>848.128</v>
      </c>
      <c r="E31" s="37" t="s">
        <v>516</v>
      </c>
      <c r="F31" s="28" t="s">
        <v>289</v>
      </c>
    </row>
    <row r="32" ht="24.95" customHeight="1" spans="1:6">
      <c r="A32" s="28">
        <v>31</v>
      </c>
      <c r="B32" s="28" t="s">
        <v>517</v>
      </c>
      <c r="C32" s="38" t="s">
        <v>673</v>
      </c>
      <c r="D32" s="28">
        <v>870.312</v>
      </c>
      <c r="E32" s="37" t="s">
        <v>516</v>
      </c>
      <c r="F32" s="28" t="s">
        <v>289</v>
      </c>
    </row>
    <row r="33" ht="24.95" customHeight="1" spans="1:6">
      <c r="A33" s="28">
        <v>32</v>
      </c>
      <c r="B33" s="28" t="s">
        <v>519</v>
      </c>
      <c r="C33" s="28" t="s">
        <v>674</v>
      </c>
      <c r="D33" s="28">
        <v>899.965</v>
      </c>
      <c r="E33" s="28" t="s">
        <v>521</v>
      </c>
      <c r="F33" s="28" t="s">
        <v>522</v>
      </c>
    </row>
    <row r="34" ht="24.95" customHeight="1" spans="1:6">
      <c r="A34" s="28">
        <v>33</v>
      </c>
      <c r="B34" s="28" t="s">
        <v>523</v>
      </c>
      <c r="C34" s="28" t="s">
        <v>675</v>
      </c>
      <c r="D34" s="28">
        <v>931.973</v>
      </c>
      <c r="E34" s="28" t="s">
        <v>521</v>
      </c>
      <c r="F34" s="28" t="s">
        <v>522</v>
      </c>
    </row>
    <row r="35" ht="24.95" customHeight="1" spans="1:6">
      <c r="A35" s="28">
        <v>34</v>
      </c>
      <c r="B35" s="28" t="s">
        <v>525</v>
      </c>
      <c r="C35" s="28" t="s">
        <v>676</v>
      </c>
      <c r="D35" s="28">
        <v>963.971</v>
      </c>
      <c r="E35" s="28" t="s">
        <v>521</v>
      </c>
      <c r="F35" s="28" t="s">
        <v>522</v>
      </c>
    </row>
    <row r="36" ht="24.95" customHeight="1" spans="1:6">
      <c r="A36" s="28">
        <v>35</v>
      </c>
      <c r="B36" s="28" t="s">
        <v>527</v>
      </c>
      <c r="C36" s="28" t="s">
        <v>677</v>
      </c>
      <c r="D36" s="28">
        <v>993.07</v>
      </c>
      <c r="E36" s="28" t="s">
        <v>521</v>
      </c>
      <c r="F36" s="39" t="s">
        <v>302</v>
      </c>
    </row>
    <row r="37" ht="24.95" customHeight="1" spans="1:6">
      <c r="A37" s="28">
        <v>36</v>
      </c>
      <c r="B37" s="28" t="s">
        <v>529</v>
      </c>
      <c r="C37" s="21" t="s">
        <v>678</v>
      </c>
      <c r="D37" s="28">
        <v>1024.26</v>
      </c>
      <c r="E37" s="39" t="s">
        <v>310</v>
      </c>
      <c r="F37" s="39" t="s">
        <v>302</v>
      </c>
    </row>
    <row r="38" ht="24.95" customHeight="1" spans="1:6">
      <c r="A38" s="28">
        <v>37</v>
      </c>
      <c r="B38" s="28" t="s">
        <v>531</v>
      </c>
      <c r="C38" s="28" t="s">
        <v>679</v>
      </c>
      <c r="D38" s="40">
        <v>1051.968</v>
      </c>
      <c r="E38" s="39" t="s">
        <v>310</v>
      </c>
      <c r="F38" s="28" t="s">
        <v>302</v>
      </c>
    </row>
    <row r="39" ht="24.95" customHeight="1" spans="1:6">
      <c r="A39" s="28">
        <v>38</v>
      </c>
      <c r="B39" s="28" t="s">
        <v>533</v>
      </c>
      <c r="C39" s="28" t="s">
        <v>680</v>
      </c>
      <c r="D39" s="40">
        <v>1087.8</v>
      </c>
      <c r="E39" s="39" t="s">
        <v>310</v>
      </c>
      <c r="F39" s="28" t="s">
        <v>302</v>
      </c>
    </row>
    <row r="40" ht="24.95" customHeight="1" spans="1:6">
      <c r="A40" s="28">
        <v>39</v>
      </c>
      <c r="B40" s="28" t="s">
        <v>535</v>
      </c>
      <c r="C40" s="28" t="s">
        <v>681</v>
      </c>
      <c r="D40" s="40">
        <v>1116.75</v>
      </c>
      <c r="E40" s="39" t="s">
        <v>310</v>
      </c>
      <c r="F40" s="28" t="s">
        <v>302</v>
      </c>
    </row>
    <row r="41" ht="24.95" customHeight="1" spans="1:6">
      <c r="A41" s="28">
        <v>40</v>
      </c>
      <c r="B41" s="28" t="s">
        <v>537</v>
      </c>
      <c r="C41" s="41" t="s">
        <v>682</v>
      </c>
      <c r="D41" s="40">
        <v>1144.84</v>
      </c>
      <c r="E41" s="39" t="s">
        <v>310</v>
      </c>
      <c r="F41" s="28" t="s">
        <v>302</v>
      </c>
    </row>
    <row r="42" ht="24.95" customHeight="1" spans="1:6">
      <c r="A42" s="28">
        <v>41</v>
      </c>
      <c r="B42" s="28" t="s">
        <v>539</v>
      </c>
      <c r="C42" s="28" t="s">
        <v>683</v>
      </c>
      <c r="D42" s="40">
        <v>1175.92</v>
      </c>
      <c r="E42" s="39" t="s">
        <v>310</v>
      </c>
      <c r="F42" s="28" t="s">
        <v>302</v>
      </c>
    </row>
    <row r="43" ht="24.95" customHeight="1" spans="1:6">
      <c r="A43" s="28">
        <v>42</v>
      </c>
      <c r="B43" s="28" t="s">
        <v>541</v>
      </c>
      <c r="C43" s="28"/>
      <c r="D43" s="40">
        <v>1207.1</v>
      </c>
      <c r="E43" s="39" t="s">
        <v>310</v>
      </c>
      <c r="F43" s="28" t="s">
        <v>313</v>
      </c>
    </row>
    <row r="44" ht="24.95" customHeight="1" spans="1:6">
      <c r="A44" s="28">
        <v>43</v>
      </c>
      <c r="B44" s="28" t="s">
        <v>543</v>
      </c>
      <c r="C44" s="28"/>
      <c r="D44" s="40">
        <v>1234.1</v>
      </c>
      <c r="E44" s="39" t="s">
        <v>310</v>
      </c>
      <c r="F44" s="28" t="s">
        <v>313</v>
      </c>
    </row>
    <row r="45" ht="24.95" customHeight="1" spans="1:6">
      <c r="A45" s="28">
        <v>44</v>
      </c>
      <c r="B45" s="28" t="s">
        <v>545</v>
      </c>
      <c r="C45" s="28"/>
      <c r="D45" s="40">
        <v>1259.07</v>
      </c>
      <c r="E45" s="39" t="s">
        <v>310</v>
      </c>
      <c r="F45" s="28" t="s">
        <v>313</v>
      </c>
    </row>
    <row r="46" ht="24.95" customHeight="1" spans="1:6">
      <c r="A46" s="28">
        <v>45</v>
      </c>
      <c r="B46" s="28" t="s">
        <v>547</v>
      </c>
      <c r="C46" s="28"/>
      <c r="D46" s="40">
        <v>1287.04</v>
      </c>
      <c r="E46" s="39" t="s">
        <v>310</v>
      </c>
      <c r="F46" s="28" t="s">
        <v>313</v>
      </c>
    </row>
    <row r="47" ht="24.95" customHeight="1" spans="1:6">
      <c r="A47" s="28">
        <v>46</v>
      </c>
      <c r="B47" s="28" t="s">
        <v>549</v>
      </c>
      <c r="C47" s="28"/>
      <c r="D47" s="40">
        <v>1313.1</v>
      </c>
      <c r="E47" s="39" t="s">
        <v>310</v>
      </c>
      <c r="F47" s="28" t="s">
        <v>313</v>
      </c>
    </row>
    <row r="48" ht="24.95" customHeight="1" spans="1:6">
      <c r="A48" s="28">
        <v>47</v>
      </c>
      <c r="B48" s="28" t="s">
        <v>551</v>
      </c>
      <c r="C48" s="28"/>
      <c r="D48" s="40">
        <v>1337.2</v>
      </c>
      <c r="E48" s="39" t="s">
        <v>310</v>
      </c>
      <c r="F48" s="28" t="s">
        <v>313</v>
      </c>
    </row>
    <row r="49" ht="24.95" customHeight="1" spans="1:6">
      <c r="A49" s="28">
        <v>49</v>
      </c>
      <c r="B49" s="28" t="s">
        <v>551</v>
      </c>
      <c r="C49" s="28"/>
      <c r="D49" s="40">
        <v>1328</v>
      </c>
      <c r="E49" s="28" t="s">
        <v>310</v>
      </c>
      <c r="F49" s="28" t="s">
        <v>313</v>
      </c>
    </row>
    <row r="50" ht="24.95" customHeight="1" spans="1:6">
      <c r="A50" s="28">
        <v>50</v>
      </c>
      <c r="B50" s="28" t="s">
        <v>553</v>
      </c>
      <c r="C50" s="28" t="s">
        <v>684</v>
      </c>
      <c r="D50" s="28">
        <v>1350</v>
      </c>
      <c r="E50" s="23" t="s">
        <v>322</v>
      </c>
      <c r="F50" s="23" t="s">
        <v>323</v>
      </c>
    </row>
    <row r="51" ht="24.95" customHeight="1" spans="1:6">
      <c r="A51" s="28">
        <v>51</v>
      </c>
      <c r="B51" s="28" t="s">
        <v>555</v>
      </c>
      <c r="C51" s="28" t="s">
        <v>685</v>
      </c>
      <c r="D51" s="28">
        <v>1398</v>
      </c>
      <c r="E51" s="23" t="s">
        <v>322</v>
      </c>
      <c r="F51" s="23" t="s">
        <v>323</v>
      </c>
    </row>
    <row r="52" ht="24.95" customHeight="1" spans="1:6">
      <c r="A52" s="28">
        <v>52</v>
      </c>
      <c r="B52" s="28" t="s">
        <v>557</v>
      </c>
      <c r="C52" s="28" t="s">
        <v>686</v>
      </c>
      <c r="D52" s="28">
        <v>1433</v>
      </c>
      <c r="E52" s="23" t="s">
        <v>322</v>
      </c>
      <c r="F52" s="23" t="s">
        <v>323</v>
      </c>
    </row>
    <row r="53" ht="24.95" customHeight="1" spans="1:6">
      <c r="A53" s="28">
        <v>53</v>
      </c>
      <c r="B53" s="28" t="s">
        <v>559</v>
      </c>
      <c r="C53" s="28" t="s">
        <v>687</v>
      </c>
      <c r="D53" s="28">
        <v>1466</v>
      </c>
      <c r="E53" s="23" t="s">
        <v>322</v>
      </c>
      <c r="F53" s="23" t="s">
        <v>323</v>
      </c>
    </row>
    <row r="54" ht="24.95" customHeight="1" spans="1:6">
      <c r="A54" s="28">
        <v>54</v>
      </c>
      <c r="B54" s="31" t="s">
        <v>561</v>
      </c>
      <c r="C54" s="31" t="s">
        <v>688</v>
      </c>
      <c r="D54" s="42">
        <v>1496.4</v>
      </c>
      <c r="E54" s="43" t="s">
        <v>332</v>
      </c>
      <c r="F54" s="43" t="s">
        <v>333</v>
      </c>
    </row>
    <row r="55" ht="24.95" customHeight="1" spans="1:6">
      <c r="A55" s="28">
        <v>55</v>
      </c>
      <c r="B55" s="31" t="s">
        <v>563</v>
      </c>
      <c r="C55" s="31" t="s">
        <v>689</v>
      </c>
      <c r="D55" s="42">
        <v>1527.3</v>
      </c>
      <c r="E55" s="43" t="s">
        <v>339</v>
      </c>
      <c r="F55" s="43" t="s">
        <v>333</v>
      </c>
    </row>
    <row r="56" ht="24.95" customHeight="1" spans="1:6">
      <c r="A56" s="28">
        <v>56</v>
      </c>
      <c r="B56" s="31" t="s">
        <v>565</v>
      </c>
      <c r="C56" s="31" t="s">
        <v>690</v>
      </c>
      <c r="D56" s="42">
        <v>1548.5</v>
      </c>
      <c r="E56" s="43" t="s">
        <v>567</v>
      </c>
      <c r="F56" s="43" t="s">
        <v>333</v>
      </c>
    </row>
    <row r="57" ht="24.95" customHeight="1" spans="1:6">
      <c r="A57" s="28">
        <v>57</v>
      </c>
      <c r="B57" s="28" t="s">
        <v>568</v>
      </c>
      <c r="C57" s="28" t="s">
        <v>691</v>
      </c>
      <c r="D57" s="28">
        <v>1590.303</v>
      </c>
      <c r="E57" s="28" t="s">
        <v>342</v>
      </c>
      <c r="F57" s="28" t="s">
        <v>343</v>
      </c>
    </row>
    <row r="58" ht="24.95" customHeight="1" spans="1:6">
      <c r="A58" s="28">
        <v>58</v>
      </c>
      <c r="B58" s="28" t="s">
        <v>570</v>
      </c>
      <c r="C58" s="28" t="s">
        <v>692</v>
      </c>
      <c r="D58" s="28">
        <v>1623.132</v>
      </c>
      <c r="E58" s="28" t="s">
        <v>349</v>
      </c>
      <c r="F58" s="28" t="s">
        <v>343</v>
      </c>
    </row>
    <row r="59" ht="24.95" customHeight="1" spans="1:6">
      <c r="A59" s="28">
        <v>59</v>
      </c>
      <c r="B59" s="28" t="s">
        <v>572</v>
      </c>
      <c r="C59" s="28" t="s">
        <v>693</v>
      </c>
      <c r="D59" s="28">
        <v>1651.909</v>
      </c>
      <c r="E59" s="28" t="s">
        <v>349</v>
      </c>
      <c r="F59" s="28" t="s">
        <v>343</v>
      </c>
    </row>
    <row r="60" ht="24.95" customHeight="1" spans="1:6">
      <c r="A60" s="28">
        <v>60</v>
      </c>
      <c r="B60" s="28" t="s">
        <v>574</v>
      </c>
      <c r="C60" s="28" t="s">
        <v>694</v>
      </c>
      <c r="D60" s="28">
        <v>1678.408</v>
      </c>
      <c r="E60" s="28" t="s">
        <v>576</v>
      </c>
      <c r="F60" s="28" t="s">
        <v>343</v>
      </c>
    </row>
    <row r="61" ht="24.95" customHeight="1" spans="1:6">
      <c r="A61" s="28">
        <v>61</v>
      </c>
      <c r="B61" s="28" t="s">
        <v>577</v>
      </c>
      <c r="C61" s="28" t="s">
        <v>578</v>
      </c>
      <c r="D61" s="28">
        <v>1691.6</v>
      </c>
      <c r="E61" s="28" t="s">
        <v>579</v>
      </c>
      <c r="F61" s="28" t="s">
        <v>360</v>
      </c>
    </row>
    <row r="62" ht="24.95" customHeight="1" spans="1:6">
      <c r="A62" s="28">
        <v>62</v>
      </c>
      <c r="B62" s="28" t="s">
        <v>580</v>
      </c>
      <c r="C62" s="28" t="s">
        <v>581</v>
      </c>
      <c r="D62" s="28">
        <v>1720.2</v>
      </c>
      <c r="E62" s="28" t="s">
        <v>582</v>
      </c>
      <c r="F62" s="28" t="s">
        <v>360</v>
      </c>
    </row>
    <row r="63" ht="24.95" customHeight="1" spans="1:6">
      <c r="A63" s="28">
        <v>63</v>
      </c>
      <c r="B63" s="28" t="s">
        <v>583</v>
      </c>
      <c r="C63" s="28" t="s">
        <v>584</v>
      </c>
      <c r="D63" s="28">
        <v>1742.6</v>
      </c>
      <c r="E63" s="28" t="s">
        <v>585</v>
      </c>
      <c r="F63" s="28" t="s">
        <v>360</v>
      </c>
    </row>
    <row r="64" ht="24.95" customHeight="1" spans="1:6">
      <c r="A64" s="28">
        <v>64</v>
      </c>
      <c r="B64" s="28" t="s">
        <v>586</v>
      </c>
      <c r="C64" s="28" t="s">
        <v>587</v>
      </c>
      <c r="D64" s="28">
        <v>1771.62</v>
      </c>
      <c r="E64" s="28" t="s">
        <v>588</v>
      </c>
      <c r="F64" s="28" t="s">
        <v>360</v>
      </c>
    </row>
    <row r="65" ht="24.95" customHeight="1" spans="1:6">
      <c r="A65" s="28">
        <v>65</v>
      </c>
      <c r="B65" s="28" t="s">
        <v>589</v>
      </c>
      <c r="C65" s="28" t="s">
        <v>590</v>
      </c>
      <c r="D65" s="28">
        <v>1802</v>
      </c>
      <c r="E65" s="28" t="s">
        <v>591</v>
      </c>
      <c r="F65" s="28" t="s">
        <v>360</v>
      </c>
    </row>
    <row r="66" ht="24.95" customHeight="1" spans="1:6">
      <c r="A66" s="28">
        <v>66</v>
      </c>
      <c r="B66" s="28" t="s">
        <v>592</v>
      </c>
      <c r="C66" s="28" t="s">
        <v>593</v>
      </c>
      <c r="D66" s="28">
        <v>1828.9</v>
      </c>
      <c r="E66" s="28" t="s">
        <v>375</v>
      </c>
      <c r="F66" s="28" t="s">
        <v>376</v>
      </c>
    </row>
    <row r="67" ht="24.95" customHeight="1" spans="1:6">
      <c r="A67" s="28">
        <v>67</v>
      </c>
      <c r="B67" s="28" t="s">
        <v>594</v>
      </c>
      <c r="C67" s="28" t="s">
        <v>595</v>
      </c>
      <c r="D67" s="28">
        <v>1858.04</v>
      </c>
      <c r="E67" s="28" t="s">
        <v>375</v>
      </c>
      <c r="F67" s="28" t="s">
        <v>376</v>
      </c>
    </row>
    <row r="68" ht="24.95" customHeight="1" spans="1:6">
      <c r="A68" s="28">
        <v>68</v>
      </c>
      <c r="B68" s="28" t="s">
        <v>596</v>
      </c>
      <c r="C68" s="28" t="s">
        <v>597</v>
      </c>
      <c r="D68" s="28">
        <v>1887.5</v>
      </c>
      <c r="E68" s="28" t="s">
        <v>375</v>
      </c>
      <c r="F68" s="28" t="s">
        <v>376</v>
      </c>
    </row>
    <row r="69" ht="24.95" customHeight="1" spans="1:6">
      <c r="A69" s="28">
        <v>69</v>
      </c>
      <c r="B69" s="28" t="s">
        <v>52</v>
      </c>
      <c r="C69" s="28" t="s">
        <v>598</v>
      </c>
      <c r="D69" s="28">
        <v>1909.1</v>
      </c>
      <c r="E69" s="28" t="s">
        <v>375</v>
      </c>
      <c r="F69" s="28" t="s">
        <v>376</v>
      </c>
    </row>
    <row r="70" ht="24.95" customHeight="1" spans="1:6">
      <c r="A70" s="28">
        <v>70</v>
      </c>
      <c r="B70" s="28" t="s">
        <v>599</v>
      </c>
      <c r="C70" s="28" t="s">
        <v>600</v>
      </c>
      <c r="D70" s="28">
        <v>1934.5</v>
      </c>
      <c r="E70" s="28" t="s">
        <v>375</v>
      </c>
      <c r="F70" s="28" t="s">
        <v>376</v>
      </c>
    </row>
    <row r="71" ht="24.95" customHeight="1" spans="1:6">
      <c r="A71" s="28">
        <v>71</v>
      </c>
      <c r="B71" s="44" t="s">
        <v>601</v>
      </c>
      <c r="C71" s="28" t="s">
        <v>602</v>
      </c>
      <c r="D71" s="28">
        <v>1964.76</v>
      </c>
      <c r="E71" s="45" t="s">
        <v>603</v>
      </c>
      <c r="F71" s="45" t="s">
        <v>389</v>
      </c>
    </row>
    <row r="72" ht="24.95" customHeight="1" spans="1:6">
      <c r="A72" s="28">
        <v>72</v>
      </c>
      <c r="B72" s="44" t="s">
        <v>604</v>
      </c>
      <c r="C72" s="38" t="s">
        <v>695</v>
      </c>
      <c r="D72" s="28">
        <v>1743</v>
      </c>
      <c r="E72" s="45" t="s">
        <v>606</v>
      </c>
      <c r="F72" s="45" t="s">
        <v>389</v>
      </c>
    </row>
    <row r="73" ht="24.95" customHeight="1" spans="1:6">
      <c r="A73" s="28">
        <v>73</v>
      </c>
      <c r="B73" s="44" t="s">
        <v>607</v>
      </c>
      <c r="C73" s="28" t="s">
        <v>608</v>
      </c>
      <c r="D73" s="28">
        <v>1771</v>
      </c>
      <c r="E73" s="45" t="s">
        <v>609</v>
      </c>
      <c r="F73" s="45" t="s">
        <v>389</v>
      </c>
    </row>
    <row r="74" ht="24.95" customHeight="1" spans="1:6">
      <c r="A74" s="28">
        <v>74</v>
      </c>
      <c r="B74" s="44" t="s">
        <v>53</v>
      </c>
      <c r="C74" s="28" t="s">
        <v>696</v>
      </c>
      <c r="D74" s="28">
        <v>1801</v>
      </c>
      <c r="E74" s="45" t="s">
        <v>611</v>
      </c>
      <c r="F74" s="45" t="s">
        <v>399</v>
      </c>
    </row>
    <row r="75" ht="24.95" customHeight="1" spans="1:6">
      <c r="A75" s="28">
        <v>75</v>
      </c>
      <c r="B75" s="44" t="s">
        <v>612</v>
      </c>
      <c r="C75" s="28" t="s">
        <v>697</v>
      </c>
      <c r="D75" s="28">
        <v>1828</v>
      </c>
      <c r="E75" s="45" t="s">
        <v>614</v>
      </c>
      <c r="F75" s="45" t="s">
        <v>399</v>
      </c>
    </row>
    <row r="76" ht="24.95" customHeight="1" spans="1:6">
      <c r="A76" s="28">
        <v>76</v>
      </c>
      <c r="B76" s="44" t="s">
        <v>615</v>
      </c>
      <c r="C76" s="28" t="s">
        <v>698</v>
      </c>
      <c r="D76" s="28">
        <v>1854</v>
      </c>
      <c r="E76" s="45" t="s">
        <v>617</v>
      </c>
      <c r="F76" s="45" t="s">
        <v>399</v>
      </c>
    </row>
    <row r="77" ht="24.95" customHeight="1" spans="1:6">
      <c r="A77" s="28">
        <v>77</v>
      </c>
      <c r="B77" s="44" t="s">
        <v>618</v>
      </c>
      <c r="C77" s="28" t="s">
        <v>699</v>
      </c>
      <c r="D77" s="28">
        <v>1881</v>
      </c>
      <c r="E77" s="45" t="s">
        <v>620</v>
      </c>
      <c r="F77" s="45" t="s">
        <v>399</v>
      </c>
    </row>
    <row r="78" ht="24.95" customHeight="1" spans="1:6">
      <c r="A78" s="28">
        <v>78</v>
      </c>
      <c r="B78" s="44" t="s">
        <v>621</v>
      </c>
      <c r="C78" s="28" t="s">
        <v>700</v>
      </c>
      <c r="D78" s="28">
        <v>1910</v>
      </c>
      <c r="E78" s="45" t="s">
        <v>623</v>
      </c>
      <c r="F78" s="45" t="s">
        <v>399</v>
      </c>
    </row>
    <row r="79" ht="24.95" customHeight="1" spans="1:6">
      <c r="A79" s="28">
        <v>79</v>
      </c>
      <c r="B79" s="44" t="s">
        <v>624</v>
      </c>
      <c r="C79" s="28" t="s">
        <v>625</v>
      </c>
      <c r="D79" s="28">
        <v>1944</v>
      </c>
      <c r="E79" s="45" t="s">
        <v>626</v>
      </c>
      <c r="F79" s="45" t="s">
        <v>399</v>
      </c>
    </row>
    <row r="80" ht="24.95" customHeight="1" spans="1:6">
      <c r="A80" s="28">
        <v>80</v>
      </c>
      <c r="B80" s="44" t="s">
        <v>627</v>
      </c>
      <c r="C80" s="28" t="s">
        <v>628</v>
      </c>
      <c r="D80" s="28">
        <v>1974</v>
      </c>
      <c r="E80" s="45" t="s">
        <v>629</v>
      </c>
      <c r="F80" s="45" t="s">
        <v>630</v>
      </c>
    </row>
    <row r="81" ht="24.95" customHeight="1" spans="1:6">
      <c r="A81" s="28">
        <v>81</v>
      </c>
      <c r="B81" s="44" t="s">
        <v>50</v>
      </c>
      <c r="C81" s="28" t="s">
        <v>631</v>
      </c>
      <c r="D81" s="28">
        <v>2004</v>
      </c>
      <c r="E81" s="45" t="s">
        <v>632</v>
      </c>
      <c r="F81" s="45" t="s">
        <v>630</v>
      </c>
    </row>
    <row r="82" ht="24.95" customHeight="1" spans="1:6">
      <c r="A82" s="28">
        <v>82</v>
      </c>
      <c r="B82" s="44" t="s">
        <v>633</v>
      </c>
      <c r="C82" s="28" t="s">
        <v>634</v>
      </c>
      <c r="D82" s="28">
        <v>2034</v>
      </c>
      <c r="E82" s="45" t="s">
        <v>635</v>
      </c>
      <c r="F82" s="45" t="s">
        <v>630</v>
      </c>
    </row>
    <row r="83" ht="24.95" customHeight="1" spans="1:6">
      <c r="A83" s="28">
        <v>83</v>
      </c>
      <c r="B83" s="44" t="s">
        <v>636</v>
      </c>
      <c r="C83" s="28" t="s">
        <v>637</v>
      </c>
      <c r="D83" s="28">
        <v>2065</v>
      </c>
      <c r="E83" s="45" t="s">
        <v>427</v>
      </c>
      <c r="F83" s="45" t="s">
        <v>630</v>
      </c>
    </row>
    <row r="84" ht="24.95" customHeight="1"/>
  </sheetData>
  <mergeCells count="1">
    <mergeCell ref="A1:F1"/>
  </mergeCells>
  <pageMargins left="0.699305555555556" right="0.699305555555556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C49"/>
  <sheetViews>
    <sheetView workbookViewId="0">
      <selection activeCell="K24" sqref="K24"/>
    </sheetView>
  </sheetViews>
  <sheetFormatPr defaultColWidth="9" defaultRowHeight="15" outlineLevelCol="2"/>
  <cols>
    <col min="2" max="2" width="13.375" customWidth="1"/>
  </cols>
  <sheetData>
    <row r="1" spans="1:3">
      <c r="A1" s="34" t="s">
        <v>1</v>
      </c>
      <c r="B1" s="34" t="s">
        <v>701</v>
      </c>
      <c r="C1" s="34" t="s">
        <v>702</v>
      </c>
    </row>
    <row r="2" spans="1:3">
      <c r="A2" s="34">
        <v>1</v>
      </c>
      <c r="B2" s="34" t="s">
        <v>56</v>
      </c>
      <c r="C2" s="34">
        <v>55.2</v>
      </c>
    </row>
    <row r="3" spans="1:3">
      <c r="A3" s="34">
        <v>2</v>
      </c>
      <c r="B3" s="34" t="s">
        <v>703</v>
      </c>
      <c r="C3" s="34">
        <v>87.2</v>
      </c>
    </row>
    <row r="4" spans="1:3">
      <c r="A4" s="34">
        <v>3</v>
      </c>
      <c r="B4" s="34" t="s">
        <v>704</v>
      </c>
      <c r="C4" s="34">
        <v>118.6</v>
      </c>
    </row>
    <row r="5" spans="1:3">
      <c r="A5" s="34">
        <v>4</v>
      </c>
      <c r="B5" s="34" t="s">
        <v>705</v>
      </c>
      <c r="C5" s="34">
        <v>137.7</v>
      </c>
    </row>
    <row r="6" spans="1:3">
      <c r="A6" s="34">
        <v>5</v>
      </c>
      <c r="B6" s="34" t="s">
        <v>706</v>
      </c>
      <c r="C6" s="34">
        <v>157</v>
      </c>
    </row>
    <row r="7" spans="1:3">
      <c r="A7" s="34">
        <v>6</v>
      </c>
      <c r="B7" s="34" t="s">
        <v>707</v>
      </c>
      <c r="C7" s="34">
        <v>189</v>
      </c>
    </row>
    <row r="8" spans="1:3">
      <c r="A8" s="34">
        <v>7</v>
      </c>
      <c r="B8" s="34" t="s">
        <v>708</v>
      </c>
      <c r="C8" s="34">
        <v>220.7</v>
      </c>
    </row>
    <row r="9" spans="1:3">
      <c r="A9" s="34">
        <v>8</v>
      </c>
      <c r="B9" s="34" t="s">
        <v>565</v>
      </c>
      <c r="C9" s="34">
        <v>252.7</v>
      </c>
    </row>
    <row r="10" spans="1:3">
      <c r="A10" s="34">
        <v>9</v>
      </c>
      <c r="B10" s="34" t="s">
        <v>709</v>
      </c>
      <c r="C10" s="34">
        <v>269.6</v>
      </c>
    </row>
    <row r="11" spans="1:3">
      <c r="A11" s="34">
        <v>10</v>
      </c>
      <c r="B11" s="34" t="s">
        <v>710</v>
      </c>
      <c r="C11" s="34">
        <v>291.9</v>
      </c>
    </row>
    <row r="12" spans="1:3">
      <c r="A12" s="34">
        <v>11</v>
      </c>
      <c r="B12" s="34" t="s">
        <v>711</v>
      </c>
      <c r="C12" s="34">
        <v>307.6</v>
      </c>
    </row>
    <row r="13" spans="1:3">
      <c r="A13" s="34">
        <v>12</v>
      </c>
      <c r="B13" s="34" t="s">
        <v>712</v>
      </c>
      <c r="C13" s="34">
        <v>332.2</v>
      </c>
    </row>
    <row r="14" spans="1:3">
      <c r="A14" s="34">
        <v>13</v>
      </c>
      <c r="B14" s="34" t="s">
        <v>713</v>
      </c>
      <c r="C14" s="34">
        <v>350.9</v>
      </c>
    </row>
    <row r="15" spans="1:3">
      <c r="A15" s="34">
        <v>14</v>
      </c>
      <c r="B15" s="34" t="s">
        <v>714</v>
      </c>
      <c r="C15" s="34">
        <v>374.9</v>
      </c>
    </row>
    <row r="16" spans="1:3">
      <c r="A16" s="34">
        <v>15</v>
      </c>
      <c r="B16" s="34" t="s">
        <v>715</v>
      </c>
      <c r="C16" s="34">
        <v>406.9</v>
      </c>
    </row>
    <row r="17" spans="1:3">
      <c r="A17" s="34">
        <v>16</v>
      </c>
      <c r="B17" s="34" t="s">
        <v>57</v>
      </c>
      <c r="C17" s="34">
        <v>435.7</v>
      </c>
    </row>
    <row r="18" spans="1:3">
      <c r="A18" s="34">
        <v>17</v>
      </c>
      <c r="B18" s="34" t="s">
        <v>716</v>
      </c>
      <c r="C18" s="34">
        <v>461.3</v>
      </c>
    </row>
    <row r="19" spans="1:3">
      <c r="A19" s="34">
        <v>18</v>
      </c>
      <c r="B19" s="34" t="s">
        <v>717</v>
      </c>
      <c r="C19" s="34">
        <v>491</v>
      </c>
    </row>
    <row r="20" spans="1:3">
      <c r="A20" s="34">
        <v>19</v>
      </c>
      <c r="B20" s="34" t="s">
        <v>718</v>
      </c>
      <c r="C20" s="34">
        <v>523</v>
      </c>
    </row>
    <row r="21" spans="1:3">
      <c r="A21" s="34">
        <v>20</v>
      </c>
      <c r="B21" s="34" t="s">
        <v>719</v>
      </c>
      <c r="C21" s="34">
        <v>550.1</v>
      </c>
    </row>
    <row r="22" spans="1:3">
      <c r="A22" s="34">
        <v>21</v>
      </c>
      <c r="B22" s="34" t="s">
        <v>720</v>
      </c>
      <c r="C22" s="34">
        <v>577.8</v>
      </c>
    </row>
    <row r="23" spans="1:3">
      <c r="A23" s="34">
        <v>22</v>
      </c>
      <c r="B23" s="34" t="s">
        <v>721</v>
      </c>
      <c r="C23" s="34">
        <v>609.5</v>
      </c>
    </row>
    <row r="24" spans="1:3">
      <c r="A24" s="34">
        <v>23</v>
      </c>
      <c r="B24" s="34" t="s">
        <v>722</v>
      </c>
      <c r="C24" s="34">
        <v>623.5</v>
      </c>
    </row>
    <row r="25" spans="1:3">
      <c r="A25" s="34">
        <v>24</v>
      </c>
      <c r="B25" s="34" t="s">
        <v>723</v>
      </c>
      <c r="C25" s="34">
        <v>635.7</v>
      </c>
    </row>
    <row r="26" spans="1:3">
      <c r="A26" s="34">
        <v>25</v>
      </c>
      <c r="B26" s="34" t="s">
        <v>724</v>
      </c>
      <c r="C26" s="34">
        <v>655.9</v>
      </c>
    </row>
    <row r="27" spans="1:3">
      <c r="A27" s="34">
        <v>26</v>
      </c>
      <c r="B27" s="34" t="s">
        <v>725</v>
      </c>
      <c r="C27" s="34">
        <v>673.2</v>
      </c>
    </row>
    <row r="28" spans="1:3">
      <c r="A28" s="34">
        <v>27</v>
      </c>
      <c r="B28" s="34" t="s">
        <v>726</v>
      </c>
      <c r="C28" s="34">
        <v>704</v>
      </c>
    </row>
    <row r="29" spans="1:3">
      <c r="A29" s="34">
        <v>28</v>
      </c>
      <c r="B29" s="34" t="s">
        <v>727</v>
      </c>
      <c r="C29" s="34">
        <v>735</v>
      </c>
    </row>
    <row r="30" spans="1:3">
      <c r="A30" s="34">
        <v>29</v>
      </c>
      <c r="B30" s="34" t="s">
        <v>728</v>
      </c>
      <c r="C30" s="34">
        <v>765.2</v>
      </c>
    </row>
    <row r="31" spans="1:3">
      <c r="A31" s="34">
        <v>30</v>
      </c>
      <c r="B31" s="34" t="s">
        <v>53</v>
      </c>
      <c r="C31" s="34">
        <v>796.8</v>
      </c>
    </row>
    <row r="32" spans="1:3">
      <c r="A32" s="34">
        <v>31</v>
      </c>
      <c r="B32" s="34" t="s">
        <v>729</v>
      </c>
      <c r="C32" s="34">
        <v>811.8</v>
      </c>
    </row>
    <row r="33" spans="1:3">
      <c r="A33" s="34">
        <v>32</v>
      </c>
      <c r="B33" s="34" t="s">
        <v>730</v>
      </c>
      <c r="C33" s="34">
        <v>827.3</v>
      </c>
    </row>
    <row r="34" spans="1:3">
      <c r="A34" s="34">
        <v>33</v>
      </c>
      <c r="B34" s="34" t="s">
        <v>731</v>
      </c>
      <c r="C34" s="34">
        <v>848.6</v>
      </c>
    </row>
    <row r="35" spans="1:3">
      <c r="A35" s="34">
        <v>34</v>
      </c>
      <c r="B35" s="34" t="s">
        <v>732</v>
      </c>
      <c r="C35" s="34">
        <v>867.3</v>
      </c>
    </row>
    <row r="36" spans="1:3">
      <c r="A36" s="34">
        <v>35</v>
      </c>
      <c r="B36" s="34" t="s">
        <v>733</v>
      </c>
      <c r="C36" s="34">
        <v>890.9</v>
      </c>
    </row>
    <row r="37" spans="1:3">
      <c r="A37" s="34">
        <v>36</v>
      </c>
      <c r="B37" s="34" t="s">
        <v>734</v>
      </c>
      <c r="C37" s="34">
        <v>912.4</v>
      </c>
    </row>
    <row r="38" spans="1:3">
      <c r="A38" s="34">
        <v>37</v>
      </c>
      <c r="B38" s="34" t="s">
        <v>735</v>
      </c>
      <c r="C38" s="34">
        <v>943.5</v>
      </c>
    </row>
    <row r="39" spans="1:3">
      <c r="A39" s="34">
        <v>38</v>
      </c>
      <c r="B39" s="34" t="s">
        <v>736</v>
      </c>
      <c r="C39" s="34">
        <v>975.3</v>
      </c>
    </row>
    <row r="40" spans="1:3">
      <c r="A40" s="34">
        <v>39</v>
      </c>
      <c r="B40" s="34" t="s">
        <v>737</v>
      </c>
      <c r="C40" s="34">
        <v>1006.2</v>
      </c>
    </row>
    <row r="41" spans="1:3">
      <c r="A41" s="34">
        <v>40</v>
      </c>
      <c r="B41" s="34" t="s">
        <v>738</v>
      </c>
      <c r="C41" s="34">
        <v>1028</v>
      </c>
    </row>
    <row r="42" spans="1:3">
      <c r="A42" s="34">
        <v>41</v>
      </c>
      <c r="B42" s="34" t="s">
        <v>50</v>
      </c>
      <c r="C42" s="34">
        <v>1045.1</v>
      </c>
    </row>
    <row r="43" spans="1:3">
      <c r="A43" s="34">
        <v>42</v>
      </c>
      <c r="B43" s="34" t="s">
        <v>739</v>
      </c>
      <c r="C43" s="34">
        <v>1076.2</v>
      </c>
    </row>
    <row r="44" spans="1:3">
      <c r="A44" s="34">
        <v>43</v>
      </c>
      <c r="B44" s="34" t="s">
        <v>740</v>
      </c>
      <c r="C44" s="34">
        <v>1107.7</v>
      </c>
    </row>
    <row r="45" spans="1:3">
      <c r="A45" s="34">
        <v>44</v>
      </c>
      <c r="B45" s="34" t="s">
        <v>741</v>
      </c>
      <c r="C45" s="34">
        <v>1126.4</v>
      </c>
    </row>
    <row r="46" spans="1:3">
      <c r="A46" s="34">
        <v>45</v>
      </c>
      <c r="B46" s="34" t="s">
        <v>742</v>
      </c>
      <c r="C46" s="34">
        <v>1153.4</v>
      </c>
    </row>
    <row r="47" spans="1:3">
      <c r="A47" s="34">
        <v>46</v>
      </c>
      <c r="B47" s="34" t="s">
        <v>743</v>
      </c>
      <c r="C47" s="34">
        <v>1181.1</v>
      </c>
    </row>
    <row r="48" spans="1:3">
      <c r="A48" s="34">
        <v>47</v>
      </c>
      <c r="B48" s="34" t="s">
        <v>744</v>
      </c>
      <c r="C48" s="34">
        <v>1188.7</v>
      </c>
    </row>
    <row r="49" spans="1:3">
      <c r="A49" s="34">
        <v>48</v>
      </c>
      <c r="B49" s="34" t="s">
        <v>642</v>
      </c>
      <c r="C49" s="34">
        <v>1197.4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K89"/>
  <sheetViews>
    <sheetView workbookViewId="0">
      <selection activeCell="E12" sqref="E12"/>
    </sheetView>
  </sheetViews>
  <sheetFormatPr defaultColWidth="9" defaultRowHeight="15"/>
  <cols>
    <col min="1" max="1" width="5.25" style="21" customWidth="1"/>
    <col min="2" max="2" width="19.25" style="21" customWidth="1"/>
    <col min="3" max="3" width="24.5" style="21" customWidth="1"/>
    <col min="4" max="4" width="11.125" style="21" customWidth="1"/>
    <col min="5" max="5" width="13.5" style="21" customWidth="1"/>
    <col min="6" max="6" width="16.25" style="21" customWidth="1"/>
    <col min="7" max="7" width="21.875" style="21" customWidth="1"/>
    <col min="8" max="16384" width="9" style="21"/>
  </cols>
  <sheetData>
    <row r="1" ht="33.75" customHeight="1" spans="1:7">
      <c r="A1" s="22" t="s">
        <v>745</v>
      </c>
      <c r="B1" s="22"/>
      <c r="C1" s="22"/>
      <c r="D1" s="22"/>
      <c r="E1" s="22"/>
      <c r="F1" s="22"/>
      <c r="G1" s="22"/>
    </row>
    <row r="2" s="20" customFormat="1" ht="28" spans="1:11">
      <c r="A2" s="23" t="s">
        <v>1</v>
      </c>
      <c r="B2" s="23" t="s">
        <v>235</v>
      </c>
      <c r="C2" s="24" t="s">
        <v>236</v>
      </c>
      <c r="D2" s="25" t="s">
        <v>237</v>
      </c>
      <c r="E2" s="23" t="s">
        <v>238</v>
      </c>
      <c r="F2" s="23" t="s">
        <v>239</v>
      </c>
      <c r="G2" s="26" t="s">
        <v>240</v>
      </c>
      <c r="H2" s="27" t="s">
        <v>241</v>
      </c>
      <c r="I2" s="27" t="s">
        <v>242</v>
      </c>
      <c r="J2" s="27" t="s">
        <v>243</v>
      </c>
      <c r="K2" s="27" t="s">
        <v>244</v>
      </c>
    </row>
    <row r="3" ht="24.95" customHeight="1" spans="1:11">
      <c r="A3" s="28">
        <v>1</v>
      </c>
      <c r="B3" s="28" t="s">
        <v>746</v>
      </c>
      <c r="C3" s="23"/>
      <c r="D3" s="28">
        <v>0</v>
      </c>
      <c r="E3" s="28" t="s">
        <v>747</v>
      </c>
      <c r="F3" s="28" t="s">
        <v>748</v>
      </c>
      <c r="G3" s="28"/>
      <c r="H3" s="30">
        <v>660</v>
      </c>
      <c r="I3" s="30">
        <v>7.1</v>
      </c>
      <c r="J3" s="19">
        <f>H3-I3-I3</f>
        <v>645.8</v>
      </c>
      <c r="K3" s="19">
        <f>1000*3.14*(J3/2/1000)*(J3/2/1000)</f>
        <v>327.3902474</v>
      </c>
    </row>
    <row r="4" ht="24.95" customHeight="1" spans="1:10">
      <c r="A4" s="28">
        <v>2</v>
      </c>
      <c r="B4" s="28" t="s">
        <v>252</v>
      </c>
      <c r="C4" s="23" t="s">
        <v>749</v>
      </c>
      <c r="D4" s="28">
        <v>30.825</v>
      </c>
      <c r="E4" s="28" t="s">
        <v>747</v>
      </c>
      <c r="F4" s="28" t="s">
        <v>748</v>
      </c>
      <c r="G4" s="28"/>
      <c r="J4" s="33"/>
    </row>
    <row r="5" ht="24.95" customHeight="1" spans="1:7">
      <c r="A5" s="28">
        <v>3</v>
      </c>
      <c r="B5" s="28" t="s">
        <v>222</v>
      </c>
      <c r="C5" s="23" t="s">
        <v>750</v>
      </c>
      <c r="D5" s="28">
        <v>59.725</v>
      </c>
      <c r="E5" s="28" t="s">
        <v>751</v>
      </c>
      <c r="F5" s="28" t="s">
        <v>748</v>
      </c>
      <c r="G5" s="28"/>
    </row>
    <row r="6" ht="24.95" customHeight="1" spans="1:7">
      <c r="A6" s="28">
        <v>4</v>
      </c>
      <c r="B6" s="28" t="s">
        <v>257</v>
      </c>
      <c r="C6" s="28" t="s">
        <v>752</v>
      </c>
      <c r="D6" s="28">
        <v>88.163</v>
      </c>
      <c r="E6" s="28" t="s">
        <v>751</v>
      </c>
      <c r="F6" s="28" t="s">
        <v>748</v>
      </c>
      <c r="G6" s="28"/>
    </row>
    <row r="7" ht="24.95" customHeight="1" spans="1:7">
      <c r="A7" s="28">
        <v>5</v>
      </c>
      <c r="B7" s="28" t="s">
        <v>223</v>
      </c>
      <c r="C7" s="28" t="s">
        <v>753</v>
      </c>
      <c r="D7" s="28">
        <v>110.79</v>
      </c>
      <c r="E7" s="28" t="s">
        <v>751</v>
      </c>
      <c r="F7" s="28" t="s">
        <v>748</v>
      </c>
      <c r="G7" s="28"/>
    </row>
    <row r="8" ht="24.95" customHeight="1" spans="1:7">
      <c r="A8" s="28">
        <v>6</v>
      </c>
      <c r="B8" s="28" t="s">
        <v>224</v>
      </c>
      <c r="C8" s="28" t="s">
        <v>754</v>
      </c>
      <c r="D8" s="28">
        <v>112.9</v>
      </c>
      <c r="E8" s="28" t="s">
        <v>751</v>
      </c>
      <c r="F8" s="28" t="s">
        <v>748</v>
      </c>
      <c r="G8" s="28"/>
    </row>
    <row r="9" ht="24.95" customHeight="1" spans="1:7">
      <c r="A9" s="28">
        <v>7</v>
      </c>
      <c r="B9" s="28" t="s">
        <v>225</v>
      </c>
      <c r="C9" s="28" t="s">
        <v>755</v>
      </c>
      <c r="D9" s="28">
        <v>131.907</v>
      </c>
      <c r="E9" s="28" t="s">
        <v>751</v>
      </c>
      <c r="F9" s="28" t="s">
        <v>748</v>
      </c>
      <c r="G9" s="28"/>
    </row>
    <row r="10" ht="24.95" customHeight="1" spans="1:7">
      <c r="A10" s="28">
        <v>8</v>
      </c>
      <c r="B10" s="28" t="s">
        <v>270</v>
      </c>
      <c r="C10" s="28" t="s">
        <v>756</v>
      </c>
      <c r="D10" s="28">
        <v>151.024</v>
      </c>
      <c r="E10" s="28" t="s">
        <v>751</v>
      </c>
      <c r="F10" s="28" t="s">
        <v>748</v>
      </c>
      <c r="G10" s="28"/>
    </row>
    <row r="11" ht="24.95" customHeight="1" spans="1:7">
      <c r="A11" s="28">
        <v>9</v>
      </c>
      <c r="B11" s="28" t="s">
        <v>757</v>
      </c>
      <c r="C11" s="31" t="s">
        <v>758</v>
      </c>
      <c r="D11" s="28">
        <v>170.141</v>
      </c>
      <c r="E11" s="28" t="s">
        <v>751</v>
      </c>
      <c r="F11" s="29" t="s">
        <v>759</v>
      </c>
      <c r="G11" s="28"/>
    </row>
    <row r="12" ht="24.95" customHeight="1" spans="1:7">
      <c r="A12" s="28">
        <v>10</v>
      </c>
      <c r="B12" s="28" t="s">
        <v>273</v>
      </c>
      <c r="C12" s="31" t="s">
        <v>760</v>
      </c>
      <c r="D12" s="28">
        <v>199.372</v>
      </c>
      <c r="E12" s="29" t="s">
        <v>761</v>
      </c>
      <c r="F12" s="29" t="s">
        <v>759</v>
      </c>
      <c r="G12" s="28"/>
    </row>
    <row r="13" ht="24.95" customHeight="1" spans="1:7">
      <c r="A13" s="28">
        <v>11</v>
      </c>
      <c r="B13" s="28" t="s">
        <v>228</v>
      </c>
      <c r="C13" s="23" t="s">
        <v>762</v>
      </c>
      <c r="D13" s="28">
        <v>225.99</v>
      </c>
      <c r="E13" s="29" t="s">
        <v>761</v>
      </c>
      <c r="F13" s="29" t="s">
        <v>759</v>
      </c>
      <c r="G13" s="23"/>
    </row>
    <row r="14" ht="24.95" customHeight="1" spans="1:7">
      <c r="A14" s="28">
        <v>12</v>
      </c>
      <c r="B14" s="28" t="s">
        <v>229</v>
      </c>
      <c r="C14" s="23" t="s">
        <v>763</v>
      </c>
      <c r="D14" s="28">
        <v>257.836</v>
      </c>
      <c r="E14" s="29" t="s">
        <v>761</v>
      </c>
      <c r="F14" s="29" t="s">
        <v>759</v>
      </c>
      <c r="G14" s="32"/>
    </row>
    <row r="15" ht="24.95" customHeight="1" spans="1:7">
      <c r="A15" s="28">
        <v>13</v>
      </c>
      <c r="B15" s="28" t="s">
        <v>230</v>
      </c>
      <c r="C15" s="23" t="s">
        <v>764</v>
      </c>
      <c r="D15" s="28">
        <v>287.858</v>
      </c>
      <c r="E15" s="29" t="s">
        <v>761</v>
      </c>
      <c r="F15" s="29" t="s">
        <v>759</v>
      </c>
      <c r="G15" s="32"/>
    </row>
    <row r="16" ht="24.95" customHeight="1" spans="1:7">
      <c r="A16" s="28">
        <v>14</v>
      </c>
      <c r="B16" s="28" t="s">
        <v>765</v>
      </c>
      <c r="C16" s="28" t="s">
        <v>766</v>
      </c>
      <c r="D16" s="28">
        <v>291.946</v>
      </c>
      <c r="E16" s="29" t="s">
        <v>761</v>
      </c>
      <c r="F16" s="29" t="s">
        <v>759</v>
      </c>
      <c r="G16" s="28"/>
    </row>
    <row r="17" ht="24.95" customHeight="1" spans="1:7">
      <c r="A17" s="28">
        <v>15</v>
      </c>
      <c r="B17" s="28" t="s">
        <v>231</v>
      </c>
      <c r="C17" s="28" t="s">
        <v>767</v>
      </c>
      <c r="D17" s="28">
        <v>319.158</v>
      </c>
      <c r="E17" s="29" t="s">
        <v>761</v>
      </c>
      <c r="F17" s="29" t="s">
        <v>759</v>
      </c>
      <c r="G17" s="28"/>
    </row>
    <row r="18" ht="24.95" customHeight="1" spans="1:7">
      <c r="A18" s="28">
        <v>16</v>
      </c>
      <c r="B18" s="28" t="s">
        <v>286</v>
      </c>
      <c r="C18" s="28" t="s">
        <v>768</v>
      </c>
      <c r="D18" s="28">
        <v>343.99</v>
      </c>
      <c r="E18" s="29" t="s">
        <v>761</v>
      </c>
      <c r="F18" s="29" t="s">
        <v>759</v>
      </c>
      <c r="G18" s="28"/>
    </row>
    <row r="19" ht="24.95" customHeight="1" spans="1:7">
      <c r="A19" s="28">
        <v>17</v>
      </c>
      <c r="B19" s="28" t="s">
        <v>290</v>
      </c>
      <c r="C19" s="28" t="s">
        <v>769</v>
      </c>
      <c r="D19" s="28">
        <v>375.393</v>
      </c>
      <c r="E19" s="29" t="s">
        <v>770</v>
      </c>
      <c r="F19" s="29" t="s">
        <v>759</v>
      </c>
      <c r="G19" s="28"/>
    </row>
    <row r="20" ht="24.95" customHeight="1" spans="1:7">
      <c r="A20" s="28">
        <v>18</v>
      </c>
      <c r="B20" s="29" t="s">
        <v>771</v>
      </c>
      <c r="C20" s="28" t="s">
        <v>772</v>
      </c>
      <c r="D20" s="28">
        <v>403.208</v>
      </c>
      <c r="E20" s="29" t="s">
        <v>770</v>
      </c>
      <c r="F20" s="29" t="s">
        <v>759</v>
      </c>
      <c r="G20" s="28"/>
    </row>
    <row r="21" ht="24.95" customHeight="1" spans="1:7">
      <c r="A21" s="28">
        <v>19</v>
      </c>
      <c r="B21" s="29" t="s">
        <v>773</v>
      </c>
      <c r="C21" s="28" t="s">
        <v>774</v>
      </c>
      <c r="D21" s="28">
        <v>423.815</v>
      </c>
      <c r="E21" s="29" t="s">
        <v>770</v>
      </c>
      <c r="F21" s="29" t="s">
        <v>759</v>
      </c>
      <c r="G21" s="28"/>
    </row>
    <row r="22" ht="24.95" customHeight="1" spans="1:7">
      <c r="A22" s="28">
        <v>20</v>
      </c>
      <c r="B22" s="29" t="s">
        <v>297</v>
      </c>
      <c r="C22" s="28" t="s">
        <v>775</v>
      </c>
      <c r="D22" s="28">
        <v>445.203</v>
      </c>
      <c r="E22" s="29" t="s">
        <v>770</v>
      </c>
      <c r="F22" s="29" t="s">
        <v>759</v>
      </c>
      <c r="G22" s="28"/>
    </row>
    <row r="23" ht="24.95" customHeight="1" spans="1:7">
      <c r="A23" s="28">
        <v>21</v>
      </c>
      <c r="B23" s="29" t="s">
        <v>299</v>
      </c>
      <c r="C23" s="29" t="s">
        <v>776</v>
      </c>
      <c r="D23" s="28">
        <v>446.408</v>
      </c>
      <c r="E23" s="29" t="s">
        <v>770</v>
      </c>
      <c r="F23" s="29" t="s">
        <v>759</v>
      </c>
      <c r="G23" s="28"/>
    </row>
    <row r="24" ht="24.95" customHeight="1" spans="1:7">
      <c r="A24" s="28">
        <v>22</v>
      </c>
      <c r="B24" s="29" t="s">
        <v>303</v>
      </c>
      <c r="C24" s="28" t="s">
        <v>777</v>
      </c>
      <c r="D24" s="28">
        <v>473.654</v>
      </c>
      <c r="E24" s="29" t="s">
        <v>778</v>
      </c>
      <c r="F24" s="29" t="s">
        <v>759</v>
      </c>
      <c r="G24" s="28"/>
    </row>
    <row r="25" ht="24.95" customHeight="1" spans="1:7">
      <c r="A25" s="28">
        <v>23</v>
      </c>
      <c r="B25" s="29" t="s">
        <v>779</v>
      </c>
      <c r="C25" s="28" t="s">
        <v>780</v>
      </c>
      <c r="D25" s="28">
        <v>493.736</v>
      </c>
      <c r="E25" s="29" t="s">
        <v>778</v>
      </c>
      <c r="F25" s="29" t="s">
        <v>759</v>
      </c>
      <c r="G25" s="28"/>
    </row>
    <row r="26" ht="24.95" customHeight="1" spans="1:7">
      <c r="A26" s="28">
        <v>24</v>
      </c>
      <c r="B26" s="29" t="s">
        <v>107</v>
      </c>
      <c r="C26" s="28" t="s">
        <v>781</v>
      </c>
      <c r="D26" s="28">
        <v>522.751</v>
      </c>
      <c r="E26" s="29" t="s">
        <v>778</v>
      </c>
      <c r="F26" s="29" t="s">
        <v>759</v>
      </c>
      <c r="G26" s="28"/>
    </row>
    <row r="27" ht="24.95" customHeight="1" spans="1:7">
      <c r="A27" s="28">
        <v>25</v>
      </c>
      <c r="B27" s="29" t="s">
        <v>108</v>
      </c>
      <c r="C27" s="28" t="s">
        <v>782</v>
      </c>
      <c r="D27" s="28">
        <v>551.955</v>
      </c>
      <c r="E27" s="29" t="s">
        <v>778</v>
      </c>
      <c r="F27" s="29" t="s">
        <v>59</v>
      </c>
      <c r="G27" s="28"/>
    </row>
    <row r="28" ht="24.95" customHeight="1" spans="1:7">
      <c r="A28" s="28">
        <v>26</v>
      </c>
      <c r="B28" s="29" t="s">
        <v>110</v>
      </c>
      <c r="C28" s="28" t="s">
        <v>783</v>
      </c>
      <c r="D28" s="28">
        <v>583.786</v>
      </c>
      <c r="E28" s="29" t="s">
        <v>778</v>
      </c>
      <c r="F28" s="29" t="s">
        <v>59</v>
      </c>
      <c r="G28" s="28"/>
    </row>
    <row r="29" ht="24.95" customHeight="1" spans="1:7">
      <c r="A29" s="28">
        <v>27</v>
      </c>
      <c r="B29" s="29" t="s">
        <v>59</v>
      </c>
      <c r="C29" s="28" t="s">
        <v>784</v>
      </c>
      <c r="D29" s="28">
        <v>613.803</v>
      </c>
      <c r="E29" s="29" t="s">
        <v>778</v>
      </c>
      <c r="F29" s="29" t="s">
        <v>59</v>
      </c>
      <c r="G29" s="28"/>
    </row>
    <row r="30" ht="24.95" customHeight="1" spans="1:7">
      <c r="A30" s="28">
        <v>28</v>
      </c>
      <c r="B30" s="29" t="s">
        <v>111</v>
      </c>
      <c r="C30" s="28" t="s">
        <v>785</v>
      </c>
      <c r="D30" s="28">
        <v>648.603</v>
      </c>
      <c r="E30" s="29" t="s">
        <v>778</v>
      </c>
      <c r="F30" s="29" t="s">
        <v>59</v>
      </c>
      <c r="G30" s="28"/>
    </row>
    <row r="31" ht="24.95" customHeight="1" spans="1:7">
      <c r="A31" s="28">
        <v>29</v>
      </c>
      <c r="B31" s="29" t="s">
        <v>112</v>
      </c>
      <c r="C31" s="28" t="s">
        <v>786</v>
      </c>
      <c r="D31" s="28">
        <v>683.365</v>
      </c>
      <c r="E31" s="29" t="s">
        <v>787</v>
      </c>
      <c r="F31" s="29" t="s">
        <v>60</v>
      </c>
      <c r="G31" s="28"/>
    </row>
    <row r="32" ht="24.95" customHeight="1" spans="1:7">
      <c r="A32" s="28">
        <v>30</v>
      </c>
      <c r="B32" s="29" t="s">
        <v>60</v>
      </c>
      <c r="C32" s="28" t="s">
        <v>788</v>
      </c>
      <c r="D32" s="28">
        <v>707.747</v>
      </c>
      <c r="E32" s="29" t="s">
        <v>789</v>
      </c>
      <c r="F32" s="29" t="s">
        <v>60</v>
      </c>
      <c r="G32" s="28"/>
    </row>
    <row r="33" ht="24.95" customHeight="1" spans="1:7">
      <c r="A33" s="28">
        <v>31</v>
      </c>
      <c r="B33" s="29" t="s">
        <v>113</v>
      </c>
      <c r="C33" s="28" t="s">
        <v>790</v>
      </c>
      <c r="D33" s="28">
        <v>733.233</v>
      </c>
      <c r="E33" s="29" t="s">
        <v>789</v>
      </c>
      <c r="F33" s="29" t="s">
        <v>60</v>
      </c>
      <c r="G33" s="28"/>
    </row>
    <row r="34" ht="24.95" customHeight="1" spans="1:7">
      <c r="A34" s="28">
        <v>32</v>
      </c>
      <c r="B34" s="29" t="s">
        <v>115</v>
      </c>
      <c r="C34" s="28" t="s">
        <v>791</v>
      </c>
      <c r="D34" s="28">
        <v>759.199</v>
      </c>
      <c r="E34" s="29" t="s">
        <v>792</v>
      </c>
      <c r="F34" s="29" t="s">
        <v>60</v>
      </c>
      <c r="G34" s="28"/>
    </row>
    <row r="35" ht="24.95" customHeight="1" spans="1:7">
      <c r="A35" s="28">
        <v>33</v>
      </c>
      <c r="B35" s="29" t="s">
        <v>116</v>
      </c>
      <c r="C35" s="28" t="s">
        <v>793</v>
      </c>
      <c r="D35" s="28">
        <v>783.843</v>
      </c>
      <c r="E35" s="29" t="s">
        <v>794</v>
      </c>
      <c r="F35" s="29" t="s">
        <v>795</v>
      </c>
      <c r="G35" s="28"/>
    </row>
    <row r="36" ht="24.95" customHeight="1" spans="1:7">
      <c r="A36" s="28">
        <v>34</v>
      </c>
      <c r="B36" s="29" t="s">
        <v>118</v>
      </c>
      <c r="C36" s="28" t="s">
        <v>796</v>
      </c>
      <c r="D36" s="28">
        <v>808.438</v>
      </c>
      <c r="E36" s="29" t="s">
        <v>794</v>
      </c>
      <c r="F36" s="29" t="s">
        <v>795</v>
      </c>
      <c r="G36" s="28"/>
    </row>
    <row r="37" ht="24.95" customHeight="1" spans="1:7">
      <c r="A37" s="28">
        <v>35</v>
      </c>
      <c r="B37" s="29" t="s">
        <v>795</v>
      </c>
      <c r="C37" s="28" t="s">
        <v>797</v>
      </c>
      <c r="D37" s="28">
        <v>834.567</v>
      </c>
      <c r="E37" s="29" t="s">
        <v>798</v>
      </c>
      <c r="F37" s="29" t="s">
        <v>795</v>
      </c>
      <c r="G37" s="28"/>
    </row>
    <row r="38" ht="24.95" customHeight="1" spans="1:7">
      <c r="A38" s="28">
        <v>36</v>
      </c>
      <c r="B38" s="29" t="s">
        <v>120</v>
      </c>
      <c r="C38" s="28" t="s">
        <v>799</v>
      </c>
      <c r="D38" s="28">
        <v>854.439</v>
      </c>
      <c r="E38" s="29" t="s">
        <v>800</v>
      </c>
      <c r="F38" s="29" t="s">
        <v>795</v>
      </c>
      <c r="G38" s="28"/>
    </row>
    <row r="39" ht="24.95" customHeight="1" spans="1:7">
      <c r="A39" s="28">
        <v>37</v>
      </c>
      <c r="B39" s="29" t="s">
        <v>121</v>
      </c>
      <c r="C39" s="28" t="s">
        <v>801</v>
      </c>
      <c r="D39" s="28">
        <v>868.32</v>
      </c>
      <c r="E39" s="29" t="s">
        <v>800</v>
      </c>
      <c r="F39" s="29" t="s">
        <v>795</v>
      </c>
      <c r="G39" s="28"/>
    </row>
    <row r="40" ht="24.95" customHeight="1" spans="1:7">
      <c r="A40" s="28">
        <v>38</v>
      </c>
      <c r="B40" s="29" t="s">
        <v>802</v>
      </c>
      <c r="C40" s="28" t="s">
        <v>803</v>
      </c>
      <c r="D40" s="28">
        <v>882.435</v>
      </c>
      <c r="E40" s="29" t="s">
        <v>800</v>
      </c>
      <c r="F40" s="29" t="s">
        <v>795</v>
      </c>
      <c r="G40" s="28"/>
    </row>
    <row r="41" ht="24.95" customHeight="1" spans="1:7">
      <c r="A41" s="28">
        <v>39</v>
      </c>
      <c r="B41" s="29" t="s">
        <v>123</v>
      </c>
      <c r="C41" s="28" t="s">
        <v>804</v>
      </c>
      <c r="D41" s="28">
        <v>897.578</v>
      </c>
      <c r="E41" s="29" t="s">
        <v>800</v>
      </c>
      <c r="F41" s="29" t="s">
        <v>805</v>
      </c>
      <c r="G41" s="28"/>
    </row>
    <row r="42" ht="24.95" customHeight="1" spans="1:7">
      <c r="A42" s="28">
        <v>40</v>
      </c>
      <c r="B42" s="29" t="s">
        <v>124</v>
      </c>
      <c r="C42" s="28" t="s">
        <v>806</v>
      </c>
      <c r="D42" s="28">
        <v>900.023</v>
      </c>
      <c r="E42" s="29" t="s">
        <v>800</v>
      </c>
      <c r="F42" s="29" t="s">
        <v>805</v>
      </c>
      <c r="G42" s="28"/>
    </row>
    <row r="43" ht="24.95" customHeight="1" spans="1:7">
      <c r="A43" s="28">
        <v>41</v>
      </c>
      <c r="B43" s="29" t="s">
        <v>807</v>
      </c>
      <c r="C43" s="28" t="s">
        <v>808</v>
      </c>
      <c r="D43" s="28">
        <v>921.59</v>
      </c>
      <c r="E43" s="29" t="s">
        <v>809</v>
      </c>
      <c r="F43" s="29" t="s">
        <v>805</v>
      </c>
      <c r="G43" s="28"/>
    </row>
    <row r="44" ht="24.95" customHeight="1" spans="1:7">
      <c r="A44" s="28">
        <v>42</v>
      </c>
      <c r="B44" s="28"/>
      <c r="C44" s="28"/>
      <c r="D44" s="28"/>
      <c r="E44" s="28"/>
      <c r="F44" s="28"/>
      <c r="G44" s="28"/>
    </row>
    <row r="45" ht="24.95" customHeight="1" spans="1:7">
      <c r="A45" s="28">
        <v>43</v>
      </c>
      <c r="B45" s="28"/>
      <c r="C45" s="28"/>
      <c r="D45" s="28"/>
      <c r="E45" s="28"/>
      <c r="F45" s="28"/>
      <c r="G45" s="28"/>
    </row>
    <row r="46" ht="24.95" customHeight="1" spans="1:7">
      <c r="A46" s="28">
        <v>44</v>
      </c>
      <c r="B46" s="28"/>
      <c r="C46" s="28"/>
      <c r="D46" s="28"/>
      <c r="E46" s="28"/>
      <c r="F46" s="28"/>
      <c r="G46" s="28"/>
    </row>
    <row r="47" ht="24.95" customHeight="1" spans="1:7">
      <c r="A47" s="28">
        <v>45</v>
      </c>
      <c r="B47" s="28"/>
      <c r="C47" s="28"/>
      <c r="D47" s="28"/>
      <c r="E47" s="28"/>
      <c r="F47" s="28"/>
      <c r="G47" s="28"/>
    </row>
    <row r="48" ht="24.95" customHeight="1" spans="1:7">
      <c r="A48" s="28">
        <v>46</v>
      </c>
      <c r="B48" s="28"/>
      <c r="C48" s="28"/>
      <c r="D48" s="28"/>
      <c r="E48" s="28"/>
      <c r="F48" s="28"/>
      <c r="G48" s="28"/>
    </row>
    <row r="49" ht="24.95" customHeight="1" spans="1:7">
      <c r="A49" s="28">
        <v>47</v>
      </c>
      <c r="B49" s="28"/>
      <c r="C49" s="28"/>
      <c r="D49" s="28"/>
      <c r="E49" s="28"/>
      <c r="F49" s="28"/>
      <c r="G49" s="28"/>
    </row>
    <row r="50" ht="24.95" customHeight="1" spans="1:7">
      <c r="A50" s="28">
        <v>48</v>
      </c>
      <c r="B50" s="28"/>
      <c r="C50" s="28"/>
      <c r="D50" s="28"/>
      <c r="E50" s="28"/>
      <c r="F50" s="28"/>
      <c r="G50" s="28"/>
    </row>
    <row r="51" ht="24.95" customHeight="1" spans="1:7">
      <c r="A51" s="28">
        <v>49</v>
      </c>
      <c r="B51" s="28"/>
      <c r="C51" s="28"/>
      <c r="D51" s="28"/>
      <c r="E51" s="28"/>
      <c r="F51" s="28"/>
      <c r="G51" s="28"/>
    </row>
    <row r="52" ht="24.95" customHeight="1" spans="1:7">
      <c r="A52" s="28">
        <v>50</v>
      </c>
      <c r="B52" s="28"/>
      <c r="C52" s="28"/>
      <c r="D52" s="28"/>
      <c r="E52" s="28"/>
      <c r="F52" s="28"/>
      <c r="G52" s="28"/>
    </row>
    <row r="53" ht="24.95" customHeight="1" spans="1:7">
      <c r="A53" s="28">
        <v>51</v>
      </c>
      <c r="B53" s="28"/>
      <c r="C53" s="28"/>
      <c r="D53" s="28"/>
      <c r="E53" s="28"/>
      <c r="F53" s="28"/>
      <c r="G53" s="28"/>
    </row>
    <row r="54" ht="24.95" customHeight="1" spans="1:7">
      <c r="A54" s="28">
        <v>52</v>
      </c>
      <c r="B54" s="28"/>
      <c r="C54" s="28"/>
      <c r="D54" s="28"/>
      <c r="E54" s="28"/>
      <c r="F54" s="28"/>
      <c r="G54" s="28"/>
    </row>
    <row r="55" ht="24.95" customHeight="1" spans="1:7">
      <c r="A55" s="28">
        <v>53</v>
      </c>
      <c r="B55" s="28"/>
      <c r="C55" s="28"/>
      <c r="D55" s="28"/>
      <c r="E55" s="28"/>
      <c r="F55" s="28"/>
      <c r="G55" s="28"/>
    </row>
    <row r="56" ht="24.95" customHeight="1" spans="1:7">
      <c r="A56" s="28">
        <v>54</v>
      </c>
      <c r="B56" s="28"/>
      <c r="C56" s="28"/>
      <c r="D56" s="28"/>
      <c r="E56" s="28"/>
      <c r="F56" s="28"/>
      <c r="G56" s="28"/>
    </row>
    <row r="57" ht="24.95" customHeight="1" spans="1:7">
      <c r="A57" s="28">
        <v>55</v>
      </c>
      <c r="B57" s="28"/>
      <c r="C57" s="28"/>
      <c r="D57" s="28"/>
      <c r="E57" s="28"/>
      <c r="F57" s="28"/>
      <c r="G57" s="28"/>
    </row>
    <row r="58" ht="24.95" customHeight="1" spans="1:7">
      <c r="A58" s="28">
        <v>56</v>
      </c>
      <c r="B58" s="28"/>
      <c r="C58" s="28"/>
      <c r="D58" s="28"/>
      <c r="E58" s="28"/>
      <c r="F58" s="28"/>
      <c r="G58" s="28"/>
    </row>
    <row r="59" ht="24.95" customHeight="1" spans="1:7">
      <c r="A59" s="28">
        <v>57</v>
      </c>
      <c r="B59" s="28"/>
      <c r="C59" s="28"/>
      <c r="D59" s="28"/>
      <c r="E59" s="28"/>
      <c r="F59" s="28"/>
      <c r="G59" s="28"/>
    </row>
    <row r="60" ht="24.95" customHeight="1" spans="1:7">
      <c r="A60" s="28">
        <v>58</v>
      </c>
      <c r="B60" s="28"/>
      <c r="C60" s="28"/>
      <c r="D60" s="28"/>
      <c r="E60" s="28"/>
      <c r="F60" s="28"/>
      <c r="G60" s="28"/>
    </row>
    <row r="61" ht="24.95" customHeight="1" spans="1:7">
      <c r="A61" s="28">
        <v>59</v>
      </c>
      <c r="B61" s="28"/>
      <c r="C61" s="28"/>
      <c r="D61" s="28"/>
      <c r="E61" s="28"/>
      <c r="F61" s="28"/>
      <c r="G61" s="28"/>
    </row>
    <row r="62" ht="24.95" customHeight="1" spans="1:7">
      <c r="A62" s="28">
        <v>60</v>
      </c>
      <c r="B62" s="28"/>
      <c r="C62" s="28"/>
      <c r="D62" s="28"/>
      <c r="E62" s="28"/>
      <c r="F62" s="28"/>
      <c r="G62" s="28"/>
    </row>
    <row r="63" ht="24.95" customHeight="1" spans="1:7">
      <c r="A63" s="28">
        <v>61</v>
      </c>
      <c r="B63" s="28"/>
      <c r="C63" s="28"/>
      <c r="D63" s="28"/>
      <c r="E63" s="28"/>
      <c r="F63" s="28"/>
      <c r="G63" s="28"/>
    </row>
    <row r="64" ht="24.95" customHeight="1" spans="1:7">
      <c r="A64" s="28">
        <v>62</v>
      </c>
      <c r="B64" s="28"/>
      <c r="C64" s="28"/>
      <c r="D64" s="28"/>
      <c r="E64" s="28"/>
      <c r="F64" s="28"/>
      <c r="G64" s="28"/>
    </row>
    <row r="65" ht="24.95" customHeight="1" spans="1:7">
      <c r="A65" s="28">
        <v>63</v>
      </c>
      <c r="B65" s="28"/>
      <c r="C65" s="28"/>
      <c r="D65" s="28"/>
      <c r="E65" s="28"/>
      <c r="F65" s="28"/>
      <c r="G65" s="28"/>
    </row>
    <row r="66" ht="24.95" customHeight="1" spans="1:7">
      <c r="A66" s="28">
        <v>64</v>
      </c>
      <c r="B66" s="28"/>
      <c r="C66" s="28"/>
      <c r="D66" s="28"/>
      <c r="E66" s="28"/>
      <c r="F66" s="28"/>
      <c r="G66" s="28"/>
    </row>
    <row r="67" ht="24.95" customHeight="1" spans="1:7">
      <c r="A67" s="28">
        <v>65</v>
      </c>
      <c r="B67" s="28"/>
      <c r="C67" s="28"/>
      <c r="D67" s="28"/>
      <c r="E67" s="28"/>
      <c r="F67" s="28"/>
      <c r="G67" s="28"/>
    </row>
    <row r="68" ht="24.95" customHeight="1" spans="1:7">
      <c r="A68" s="28">
        <v>66</v>
      </c>
      <c r="B68" s="28"/>
      <c r="C68" s="28"/>
      <c r="D68" s="28"/>
      <c r="E68" s="28"/>
      <c r="F68" s="28"/>
      <c r="G68" s="28"/>
    </row>
    <row r="69" ht="24.95" customHeight="1" spans="1:7">
      <c r="A69" s="28">
        <v>67</v>
      </c>
      <c r="B69" s="28"/>
      <c r="C69" s="28"/>
      <c r="D69" s="28"/>
      <c r="E69" s="28"/>
      <c r="F69" s="28"/>
      <c r="G69" s="28"/>
    </row>
    <row r="70" ht="24.95" customHeight="1" spans="1:7">
      <c r="A70" s="28">
        <v>68</v>
      </c>
      <c r="B70" s="28"/>
      <c r="C70" s="28"/>
      <c r="D70" s="28"/>
      <c r="E70" s="28"/>
      <c r="F70" s="28"/>
      <c r="G70" s="28"/>
    </row>
    <row r="71" ht="24.95" customHeight="1" spans="1:7">
      <c r="A71" s="28">
        <v>69</v>
      </c>
      <c r="B71" s="28"/>
      <c r="C71" s="28"/>
      <c r="D71" s="28"/>
      <c r="E71" s="28"/>
      <c r="F71" s="28"/>
      <c r="G71" s="28"/>
    </row>
    <row r="72" ht="24.95" customHeight="1" spans="1:7">
      <c r="A72" s="28">
        <v>70</v>
      </c>
      <c r="B72" s="28"/>
      <c r="C72" s="28"/>
      <c r="D72" s="28"/>
      <c r="E72" s="28"/>
      <c r="F72" s="28"/>
      <c r="G72" s="28"/>
    </row>
    <row r="73" ht="24.95" customHeight="1" spans="1:7">
      <c r="A73" s="28">
        <v>71</v>
      </c>
      <c r="B73" s="28"/>
      <c r="C73" s="28"/>
      <c r="D73" s="28"/>
      <c r="E73" s="28"/>
      <c r="F73" s="28"/>
      <c r="G73" s="28"/>
    </row>
    <row r="74" ht="24.95" customHeight="1" spans="1:7">
      <c r="A74" s="28">
        <v>72</v>
      </c>
      <c r="B74" s="28"/>
      <c r="C74" s="28"/>
      <c r="D74" s="28"/>
      <c r="E74" s="28"/>
      <c r="F74" s="28"/>
      <c r="G74" s="28"/>
    </row>
    <row r="75" ht="24.95" customHeight="1" spans="1:7">
      <c r="A75" s="28">
        <v>73</v>
      </c>
      <c r="B75" s="28"/>
      <c r="C75" s="28"/>
      <c r="D75" s="28"/>
      <c r="E75" s="28"/>
      <c r="F75" s="28"/>
      <c r="G75" s="28"/>
    </row>
    <row r="76" ht="24.95" customHeight="1" spans="1:7">
      <c r="A76" s="28">
        <v>74</v>
      </c>
      <c r="B76" s="28"/>
      <c r="C76" s="28"/>
      <c r="D76" s="28"/>
      <c r="E76" s="28"/>
      <c r="F76" s="28"/>
      <c r="G76" s="28"/>
    </row>
    <row r="77" ht="24.95" customHeight="1" spans="1:7">
      <c r="A77" s="28">
        <v>75</v>
      </c>
      <c r="B77" s="28"/>
      <c r="C77" s="28"/>
      <c r="D77" s="28"/>
      <c r="E77" s="28"/>
      <c r="F77" s="28"/>
      <c r="G77" s="28"/>
    </row>
    <row r="78" ht="24.95" customHeight="1" spans="1:7">
      <c r="A78" s="28">
        <v>76</v>
      </c>
      <c r="B78" s="28"/>
      <c r="C78" s="28"/>
      <c r="D78" s="28"/>
      <c r="E78" s="28"/>
      <c r="F78" s="28"/>
      <c r="G78" s="28"/>
    </row>
    <row r="79" ht="24.95" customHeight="1" spans="1:7">
      <c r="A79" s="28">
        <v>77</v>
      </c>
      <c r="B79" s="28"/>
      <c r="C79" s="28"/>
      <c r="D79" s="28"/>
      <c r="E79" s="28"/>
      <c r="F79" s="28"/>
      <c r="G79" s="28"/>
    </row>
    <row r="80" ht="24.95" customHeight="1" spans="1:7">
      <c r="A80" s="28">
        <v>78</v>
      </c>
      <c r="B80" s="28"/>
      <c r="C80" s="28"/>
      <c r="D80" s="28"/>
      <c r="E80" s="28"/>
      <c r="F80" s="28"/>
      <c r="G80" s="28"/>
    </row>
    <row r="81" ht="24.95" customHeight="1" spans="1:7">
      <c r="A81" s="28">
        <v>79</v>
      </c>
      <c r="B81" s="28"/>
      <c r="C81" s="28"/>
      <c r="D81" s="28"/>
      <c r="E81" s="28"/>
      <c r="F81" s="28"/>
      <c r="G81" s="28"/>
    </row>
    <row r="82" ht="24.95" customHeight="1" spans="1:7">
      <c r="A82" s="28">
        <v>80</v>
      </c>
      <c r="B82" s="28"/>
      <c r="C82" s="28"/>
      <c r="D82" s="28"/>
      <c r="E82" s="28"/>
      <c r="F82" s="28"/>
      <c r="G82" s="28"/>
    </row>
    <row r="83" ht="24.95" customHeight="1" spans="1:7">
      <c r="A83" s="28">
        <v>81</v>
      </c>
      <c r="B83" s="28"/>
      <c r="C83" s="28"/>
      <c r="D83" s="28"/>
      <c r="E83" s="28"/>
      <c r="F83" s="28"/>
      <c r="G83" s="28"/>
    </row>
    <row r="84" ht="24.95" customHeight="1" spans="1:7">
      <c r="A84" s="28">
        <v>82</v>
      </c>
      <c r="B84" s="28"/>
      <c r="C84" s="28"/>
      <c r="D84" s="28"/>
      <c r="E84" s="28"/>
      <c r="F84" s="28"/>
      <c r="G84" s="28"/>
    </row>
    <row r="85" ht="24.95" customHeight="1" spans="1:7">
      <c r="A85" s="28">
        <v>83</v>
      </c>
      <c r="B85" s="28"/>
      <c r="C85" s="28"/>
      <c r="D85" s="28"/>
      <c r="E85" s="28"/>
      <c r="F85" s="28"/>
      <c r="G85" s="28"/>
    </row>
    <row r="86" ht="24.95" customHeight="1" spans="1:7">
      <c r="A86" s="28">
        <v>84</v>
      </c>
      <c r="B86" s="28"/>
      <c r="C86" s="28"/>
      <c r="D86" s="28"/>
      <c r="E86" s="28"/>
      <c r="F86" s="28"/>
      <c r="G86" s="28"/>
    </row>
    <row r="87" ht="24.95" customHeight="1" spans="1:7">
      <c r="A87" s="28">
        <v>85</v>
      </c>
      <c r="B87" s="28"/>
      <c r="C87" s="28"/>
      <c r="D87" s="28"/>
      <c r="E87" s="28"/>
      <c r="F87" s="28"/>
      <c r="G87" s="28"/>
    </row>
    <row r="88" ht="24.95" customHeight="1" spans="1:7">
      <c r="A88" s="28">
        <v>86</v>
      </c>
      <c r="B88" s="28"/>
      <c r="C88" s="28"/>
      <c r="D88" s="28"/>
      <c r="E88" s="28"/>
      <c r="F88" s="28"/>
      <c r="G88" s="28"/>
    </row>
    <row r="89" ht="24.95" customHeight="1"/>
  </sheetData>
  <mergeCells count="1">
    <mergeCell ref="A1:G1"/>
  </mergeCells>
  <pageMargins left="0.699305555555556" right="0.699305555555556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K89"/>
  <sheetViews>
    <sheetView topLeftCell="A24" workbookViewId="0">
      <selection activeCell="K24" sqref="K24"/>
    </sheetView>
  </sheetViews>
  <sheetFormatPr defaultColWidth="9" defaultRowHeight="15"/>
  <cols>
    <col min="1" max="1" width="5.25" style="21" customWidth="1"/>
    <col min="2" max="2" width="19.25" style="21" customWidth="1"/>
    <col min="3" max="3" width="24.5" style="21" customWidth="1"/>
    <col min="4" max="4" width="11.125" style="21" customWidth="1"/>
    <col min="5" max="5" width="13.5" style="21" customWidth="1"/>
    <col min="6" max="6" width="16.25" style="21" customWidth="1"/>
    <col min="7" max="7" width="21.875" style="21" customWidth="1"/>
    <col min="8" max="16384" width="9" style="21"/>
  </cols>
  <sheetData>
    <row r="1" ht="33.75" customHeight="1" spans="1:7">
      <c r="A1" s="22" t="s">
        <v>810</v>
      </c>
      <c r="B1" s="22"/>
      <c r="C1" s="22"/>
      <c r="D1" s="22"/>
      <c r="E1" s="22"/>
      <c r="F1" s="22"/>
      <c r="G1" s="22"/>
    </row>
    <row r="2" s="20" customFormat="1" ht="28" spans="1:11">
      <c r="A2" s="23" t="s">
        <v>1</v>
      </c>
      <c r="B2" s="23" t="s">
        <v>235</v>
      </c>
      <c r="C2" s="24" t="s">
        <v>236</v>
      </c>
      <c r="D2" s="25" t="s">
        <v>237</v>
      </c>
      <c r="E2" s="23" t="s">
        <v>238</v>
      </c>
      <c r="F2" s="23" t="s">
        <v>239</v>
      </c>
      <c r="G2" s="26" t="s">
        <v>240</v>
      </c>
      <c r="H2" s="27" t="s">
        <v>241</v>
      </c>
      <c r="I2" s="27" t="s">
        <v>242</v>
      </c>
      <c r="J2" s="27" t="s">
        <v>243</v>
      </c>
      <c r="K2" s="27" t="s">
        <v>244</v>
      </c>
    </row>
    <row r="3" ht="24.95" customHeight="1" spans="1:11">
      <c r="A3" s="28">
        <v>1</v>
      </c>
      <c r="B3" s="28" t="s">
        <v>746</v>
      </c>
      <c r="C3" s="28"/>
      <c r="D3" s="28">
        <v>0</v>
      </c>
      <c r="E3" s="29" t="s">
        <v>747</v>
      </c>
      <c r="F3" s="28" t="s">
        <v>748</v>
      </c>
      <c r="G3" s="28"/>
      <c r="H3" s="30">
        <v>660</v>
      </c>
      <c r="I3" s="30">
        <v>7.1</v>
      </c>
      <c r="J3" s="19">
        <f>H3-I3-I3</f>
        <v>645.8</v>
      </c>
      <c r="K3" s="19">
        <f>1000*3.14*(J3/2/1000)*(J3/2/1000)</f>
        <v>327.3902474</v>
      </c>
    </row>
    <row r="4" ht="24.95" customHeight="1" spans="1:7">
      <c r="A4" s="28">
        <v>2</v>
      </c>
      <c r="B4" s="28" t="s">
        <v>252</v>
      </c>
      <c r="C4" s="23" t="s">
        <v>811</v>
      </c>
      <c r="D4" s="28">
        <v>31.2</v>
      </c>
      <c r="E4" s="29" t="s">
        <v>751</v>
      </c>
      <c r="F4" s="28" t="s">
        <v>748</v>
      </c>
      <c r="G4" s="28"/>
    </row>
    <row r="5" ht="24.95" customHeight="1" spans="1:7">
      <c r="A5" s="28">
        <v>3</v>
      </c>
      <c r="B5" s="28" t="s">
        <v>222</v>
      </c>
      <c r="C5" s="23" t="s">
        <v>812</v>
      </c>
      <c r="D5" s="28">
        <v>60.7</v>
      </c>
      <c r="E5" s="29" t="s">
        <v>751</v>
      </c>
      <c r="F5" s="28" t="s">
        <v>748</v>
      </c>
      <c r="G5" s="28"/>
    </row>
    <row r="6" ht="24.95" customHeight="1" spans="1:7">
      <c r="A6" s="28">
        <v>4</v>
      </c>
      <c r="B6" s="28" t="s">
        <v>257</v>
      </c>
      <c r="C6" s="28" t="s">
        <v>813</v>
      </c>
      <c r="D6" s="28">
        <v>89.6</v>
      </c>
      <c r="E6" s="29" t="s">
        <v>751</v>
      </c>
      <c r="F6" s="28" t="s">
        <v>748</v>
      </c>
      <c r="G6" s="28"/>
    </row>
    <row r="7" ht="24.95" customHeight="1" spans="1:7">
      <c r="A7" s="28">
        <v>5</v>
      </c>
      <c r="B7" s="28" t="s">
        <v>223</v>
      </c>
      <c r="C7" s="28" t="s">
        <v>814</v>
      </c>
      <c r="D7" s="28">
        <v>115</v>
      </c>
      <c r="E7" s="29" t="s">
        <v>751</v>
      </c>
      <c r="F7" s="28" t="s">
        <v>748</v>
      </c>
      <c r="G7" s="28"/>
    </row>
    <row r="8" ht="24.95" customHeight="1" spans="1:7">
      <c r="A8" s="28">
        <v>6</v>
      </c>
      <c r="B8" s="28" t="s">
        <v>224</v>
      </c>
      <c r="C8" s="28" t="s">
        <v>815</v>
      </c>
      <c r="D8" s="28">
        <v>144.3</v>
      </c>
      <c r="E8" s="29" t="s">
        <v>751</v>
      </c>
      <c r="F8" s="28" t="s">
        <v>748</v>
      </c>
      <c r="G8" s="28"/>
    </row>
    <row r="9" ht="24.95" customHeight="1" spans="1:7">
      <c r="A9" s="28">
        <v>7</v>
      </c>
      <c r="B9" s="29" t="s">
        <v>757</v>
      </c>
      <c r="C9" s="28" t="s">
        <v>816</v>
      </c>
      <c r="D9" s="28">
        <v>173.2</v>
      </c>
      <c r="E9" s="29" t="s">
        <v>751</v>
      </c>
      <c r="F9" s="29" t="s">
        <v>759</v>
      </c>
      <c r="G9" s="28"/>
    </row>
    <row r="10" ht="24.95" customHeight="1" spans="1:7">
      <c r="A10" s="28">
        <v>8</v>
      </c>
      <c r="B10" s="29" t="s">
        <v>225</v>
      </c>
      <c r="C10" s="28" t="s">
        <v>817</v>
      </c>
      <c r="D10" s="28">
        <v>201.8</v>
      </c>
      <c r="E10" s="29" t="s">
        <v>818</v>
      </c>
      <c r="F10" s="29" t="s">
        <v>759</v>
      </c>
      <c r="G10" s="28"/>
    </row>
    <row r="11" ht="24.95" customHeight="1" spans="1:7">
      <c r="A11" s="28">
        <v>9</v>
      </c>
      <c r="B11" s="29" t="s">
        <v>270</v>
      </c>
      <c r="C11" s="28" t="s">
        <v>762</v>
      </c>
      <c r="D11" s="28">
        <v>229.3</v>
      </c>
      <c r="E11" s="29" t="s">
        <v>818</v>
      </c>
      <c r="F11" s="29" t="s">
        <v>759</v>
      </c>
      <c r="G11" s="28"/>
    </row>
    <row r="12" ht="24.95" customHeight="1" spans="1:7">
      <c r="A12" s="28">
        <v>10</v>
      </c>
      <c r="B12" s="29" t="s">
        <v>273</v>
      </c>
      <c r="C12" s="28" t="s">
        <v>763</v>
      </c>
      <c r="D12" s="28">
        <v>261.9</v>
      </c>
      <c r="E12" s="29" t="s">
        <v>818</v>
      </c>
      <c r="F12" s="29" t="s">
        <v>759</v>
      </c>
      <c r="G12" s="28"/>
    </row>
    <row r="13" ht="24.95" customHeight="1" spans="1:7">
      <c r="A13" s="28">
        <v>11</v>
      </c>
      <c r="B13" s="29" t="s">
        <v>228</v>
      </c>
      <c r="C13" s="28" t="s">
        <v>819</v>
      </c>
      <c r="D13" s="28">
        <v>288.7</v>
      </c>
      <c r="E13" s="29" t="s">
        <v>818</v>
      </c>
      <c r="F13" s="29" t="s">
        <v>759</v>
      </c>
      <c r="G13" s="28"/>
    </row>
    <row r="14" ht="24.95" customHeight="1" spans="1:7">
      <c r="A14" s="28">
        <v>12</v>
      </c>
      <c r="B14" s="29" t="s">
        <v>229</v>
      </c>
      <c r="C14" s="23" t="s">
        <v>820</v>
      </c>
      <c r="D14" s="28">
        <v>296.7</v>
      </c>
      <c r="E14" s="29" t="s">
        <v>761</v>
      </c>
      <c r="F14" s="29" t="s">
        <v>759</v>
      </c>
      <c r="G14" s="28"/>
    </row>
    <row r="15" ht="24.95" customHeight="1" spans="1:7">
      <c r="A15" s="28">
        <v>13</v>
      </c>
      <c r="B15" s="29" t="s">
        <v>230</v>
      </c>
      <c r="C15" s="23" t="s">
        <v>821</v>
      </c>
      <c r="D15" s="28">
        <v>320.7</v>
      </c>
      <c r="E15" s="29" t="s">
        <v>818</v>
      </c>
      <c r="F15" s="29" t="s">
        <v>759</v>
      </c>
      <c r="G15" s="28"/>
    </row>
    <row r="16" ht="24.95" customHeight="1" spans="1:7">
      <c r="A16" s="28">
        <v>14</v>
      </c>
      <c r="B16" s="29" t="s">
        <v>231</v>
      </c>
      <c r="C16" s="28" t="s">
        <v>822</v>
      </c>
      <c r="D16" s="28">
        <v>350.4</v>
      </c>
      <c r="E16" s="29" t="s">
        <v>818</v>
      </c>
      <c r="F16" s="29" t="s">
        <v>759</v>
      </c>
      <c r="G16" s="28"/>
    </row>
    <row r="17" ht="24.95" customHeight="1" spans="1:7">
      <c r="A17" s="28">
        <v>15</v>
      </c>
      <c r="B17" s="29" t="s">
        <v>286</v>
      </c>
      <c r="C17" s="28" t="s">
        <v>823</v>
      </c>
      <c r="D17" s="28">
        <v>384.5</v>
      </c>
      <c r="E17" s="29" t="s">
        <v>818</v>
      </c>
      <c r="F17" s="29" t="s">
        <v>759</v>
      </c>
      <c r="G17" s="28"/>
    </row>
    <row r="18" ht="24.95" customHeight="1" spans="1:7">
      <c r="A18" s="28">
        <v>16</v>
      </c>
      <c r="B18" s="29" t="s">
        <v>771</v>
      </c>
      <c r="C18" s="28" t="s">
        <v>824</v>
      </c>
      <c r="D18" s="28">
        <v>410</v>
      </c>
      <c r="E18" s="29" t="s">
        <v>825</v>
      </c>
      <c r="F18" s="29" t="s">
        <v>759</v>
      </c>
      <c r="G18" s="28"/>
    </row>
    <row r="19" ht="24.95" customHeight="1" spans="1:7">
      <c r="A19" s="28">
        <v>17</v>
      </c>
      <c r="B19" s="28" t="s">
        <v>290</v>
      </c>
      <c r="C19" s="28" t="s">
        <v>826</v>
      </c>
      <c r="D19" s="28">
        <v>431.2</v>
      </c>
      <c r="E19" s="29" t="s">
        <v>818</v>
      </c>
      <c r="F19" s="29" t="s">
        <v>759</v>
      </c>
      <c r="G19" s="28"/>
    </row>
    <row r="20" ht="24.95" customHeight="1" spans="1:7">
      <c r="A20" s="28">
        <v>18</v>
      </c>
      <c r="B20" s="28" t="s">
        <v>295</v>
      </c>
      <c r="C20" s="28" t="s">
        <v>827</v>
      </c>
      <c r="D20" s="28">
        <v>454.3</v>
      </c>
      <c r="E20" s="29" t="s">
        <v>818</v>
      </c>
      <c r="F20" s="29" t="s">
        <v>759</v>
      </c>
      <c r="G20" s="28"/>
    </row>
    <row r="21" ht="24.95" customHeight="1" spans="1:7">
      <c r="A21" s="28">
        <v>19</v>
      </c>
      <c r="B21" s="28" t="s">
        <v>297</v>
      </c>
      <c r="C21" s="28" t="s">
        <v>828</v>
      </c>
      <c r="D21" s="28">
        <v>482.2</v>
      </c>
      <c r="E21" s="29" t="s">
        <v>818</v>
      </c>
      <c r="F21" s="29" t="s">
        <v>759</v>
      </c>
      <c r="G21" s="28"/>
    </row>
    <row r="22" ht="24.95" customHeight="1" spans="1:7">
      <c r="A22" s="28">
        <v>20</v>
      </c>
      <c r="B22" s="28" t="s">
        <v>299</v>
      </c>
      <c r="C22" s="28" t="s">
        <v>829</v>
      </c>
      <c r="D22" s="28">
        <v>510.8</v>
      </c>
      <c r="E22" s="29" t="s">
        <v>818</v>
      </c>
      <c r="F22" s="29" t="s">
        <v>759</v>
      </c>
      <c r="G22" s="28"/>
    </row>
    <row r="23" ht="24.95" customHeight="1" spans="1:7">
      <c r="A23" s="28">
        <v>21</v>
      </c>
      <c r="B23" s="28" t="s">
        <v>303</v>
      </c>
      <c r="C23" s="28" t="s">
        <v>830</v>
      </c>
      <c r="D23" s="28">
        <v>540.2</v>
      </c>
      <c r="E23" s="29" t="s">
        <v>818</v>
      </c>
      <c r="F23" s="29" t="s">
        <v>59</v>
      </c>
      <c r="G23" s="28"/>
    </row>
    <row r="24" ht="24.95" customHeight="1" spans="1:7">
      <c r="A24" s="28">
        <v>22</v>
      </c>
      <c r="B24" s="28" t="s">
        <v>107</v>
      </c>
      <c r="C24" s="28" t="s">
        <v>831</v>
      </c>
      <c r="D24" s="28">
        <v>569.5</v>
      </c>
      <c r="E24" s="29" t="s">
        <v>818</v>
      </c>
      <c r="F24" s="29" t="s">
        <v>59</v>
      </c>
      <c r="G24" s="28"/>
    </row>
    <row r="25" ht="24.95" customHeight="1" spans="1:7">
      <c r="A25" s="28">
        <v>23</v>
      </c>
      <c r="B25" s="28" t="s">
        <v>108</v>
      </c>
      <c r="C25" s="28" t="s">
        <v>832</v>
      </c>
      <c r="D25" s="28">
        <v>601.8</v>
      </c>
      <c r="E25" s="29" t="s">
        <v>818</v>
      </c>
      <c r="F25" s="29" t="s">
        <v>59</v>
      </c>
      <c r="G25" s="28"/>
    </row>
    <row r="26" ht="24.95" customHeight="1" spans="1:7">
      <c r="A26" s="28">
        <v>24</v>
      </c>
      <c r="B26" s="29" t="s">
        <v>59</v>
      </c>
      <c r="C26" s="28" t="s">
        <v>833</v>
      </c>
      <c r="D26" s="28">
        <v>632.3</v>
      </c>
      <c r="E26" s="29" t="s">
        <v>834</v>
      </c>
      <c r="F26" s="29" t="s">
        <v>59</v>
      </c>
      <c r="G26" s="28"/>
    </row>
    <row r="27" ht="24.95" customHeight="1" spans="1:7">
      <c r="A27" s="28">
        <v>25</v>
      </c>
      <c r="B27" s="29" t="s">
        <v>110</v>
      </c>
      <c r="C27" s="28" t="s">
        <v>835</v>
      </c>
      <c r="D27" s="28">
        <v>669.1</v>
      </c>
      <c r="E27" s="29" t="s">
        <v>818</v>
      </c>
      <c r="F27" s="29" t="s">
        <v>59</v>
      </c>
      <c r="G27" s="28"/>
    </row>
    <row r="28" ht="24.95" customHeight="1" spans="1:7">
      <c r="A28" s="28">
        <v>26</v>
      </c>
      <c r="B28" s="29" t="s">
        <v>111</v>
      </c>
      <c r="C28" s="28" t="s">
        <v>836</v>
      </c>
      <c r="D28" s="28">
        <v>703.2</v>
      </c>
      <c r="E28" s="29" t="s">
        <v>818</v>
      </c>
      <c r="F28" s="29" t="s">
        <v>60</v>
      </c>
      <c r="G28" s="28"/>
    </row>
    <row r="29" ht="24.95" customHeight="1" spans="1:7">
      <c r="A29" s="28">
        <v>27</v>
      </c>
      <c r="B29" s="29" t="s">
        <v>60</v>
      </c>
      <c r="C29" s="28" t="s">
        <v>837</v>
      </c>
      <c r="D29" s="28">
        <v>729.8</v>
      </c>
      <c r="E29" s="29" t="s">
        <v>838</v>
      </c>
      <c r="F29" s="29" t="s">
        <v>60</v>
      </c>
      <c r="G29" s="28"/>
    </row>
    <row r="30" ht="24.95" customHeight="1" spans="1:7">
      <c r="A30" s="28">
        <v>28</v>
      </c>
      <c r="B30" s="29" t="s">
        <v>112</v>
      </c>
      <c r="C30" s="28" t="s">
        <v>839</v>
      </c>
      <c r="D30" s="28">
        <v>750.8</v>
      </c>
      <c r="E30" s="29" t="s">
        <v>818</v>
      </c>
      <c r="F30" s="29" t="s">
        <v>60</v>
      </c>
      <c r="G30" s="28"/>
    </row>
    <row r="31" ht="24.95" customHeight="1" spans="1:7">
      <c r="A31" s="28">
        <v>29</v>
      </c>
      <c r="B31" s="29" t="s">
        <v>113</v>
      </c>
      <c r="C31" s="28" t="s">
        <v>840</v>
      </c>
      <c r="D31" s="28">
        <v>769.7</v>
      </c>
      <c r="E31" s="29" t="s">
        <v>818</v>
      </c>
      <c r="F31" s="29" t="s">
        <v>60</v>
      </c>
      <c r="G31" s="28"/>
    </row>
    <row r="32" ht="24.95" customHeight="1" spans="1:7">
      <c r="A32" s="28">
        <v>30</v>
      </c>
      <c r="B32" s="29" t="s">
        <v>115</v>
      </c>
      <c r="C32" s="28" t="s">
        <v>841</v>
      </c>
      <c r="D32" s="28">
        <v>779.2</v>
      </c>
      <c r="E32" s="29" t="s">
        <v>842</v>
      </c>
      <c r="F32" s="29" t="s">
        <v>60</v>
      </c>
      <c r="G32" s="28"/>
    </row>
    <row r="33" ht="24.95" customHeight="1" spans="1:7">
      <c r="A33" s="28">
        <v>31</v>
      </c>
      <c r="B33" s="29" t="s">
        <v>116</v>
      </c>
      <c r="C33" s="28" t="s">
        <v>843</v>
      </c>
      <c r="D33" s="28">
        <v>792</v>
      </c>
      <c r="E33" s="29" t="s">
        <v>818</v>
      </c>
      <c r="F33" s="29" t="s">
        <v>795</v>
      </c>
      <c r="G33" s="28"/>
    </row>
    <row r="34" ht="24.95" customHeight="1" spans="1:7">
      <c r="A34" s="28">
        <v>32</v>
      </c>
      <c r="B34" s="29" t="s">
        <v>118</v>
      </c>
      <c r="C34" s="28" t="s">
        <v>844</v>
      </c>
      <c r="D34" s="28">
        <v>804.1</v>
      </c>
      <c r="E34" s="29" t="s">
        <v>845</v>
      </c>
      <c r="F34" s="29" t="s">
        <v>795</v>
      </c>
      <c r="G34" s="28"/>
    </row>
    <row r="35" ht="24.95" customHeight="1" spans="1:7">
      <c r="A35" s="28">
        <v>33</v>
      </c>
      <c r="B35" s="29" t="s">
        <v>120</v>
      </c>
      <c r="C35" s="28" t="s">
        <v>846</v>
      </c>
      <c r="D35" s="28">
        <v>819.5</v>
      </c>
      <c r="E35" s="29" t="s">
        <v>818</v>
      </c>
      <c r="F35" s="29" t="s">
        <v>795</v>
      </c>
      <c r="G35" s="28"/>
    </row>
    <row r="36" ht="24.95" customHeight="1" spans="1:7">
      <c r="A36" s="28">
        <v>34</v>
      </c>
      <c r="B36" s="29" t="s">
        <v>121</v>
      </c>
      <c r="C36" s="28" t="s">
        <v>847</v>
      </c>
      <c r="D36" s="28">
        <v>841.4</v>
      </c>
      <c r="E36" s="29" t="s">
        <v>818</v>
      </c>
      <c r="F36" s="29" t="s">
        <v>795</v>
      </c>
      <c r="G36" s="28"/>
    </row>
    <row r="37" ht="24.95" customHeight="1" spans="1:7">
      <c r="A37" s="28">
        <v>35</v>
      </c>
      <c r="B37" s="29" t="s">
        <v>122</v>
      </c>
      <c r="C37" s="28" t="s">
        <v>848</v>
      </c>
      <c r="D37" s="28">
        <v>853.3</v>
      </c>
      <c r="E37" s="29" t="s">
        <v>849</v>
      </c>
      <c r="F37" s="29" t="s">
        <v>795</v>
      </c>
      <c r="G37" s="28"/>
    </row>
    <row r="38" ht="24.95" customHeight="1" spans="1:7">
      <c r="A38" s="28">
        <v>36</v>
      </c>
      <c r="B38" s="29" t="s">
        <v>123</v>
      </c>
      <c r="C38" s="28" t="s">
        <v>850</v>
      </c>
      <c r="D38" s="28">
        <v>871.6</v>
      </c>
      <c r="E38" s="29" t="s">
        <v>818</v>
      </c>
      <c r="F38" s="29" t="s">
        <v>795</v>
      </c>
      <c r="G38" s="28"/>
    </row>
    <row r="39" ht="24.95" customHeight="1" spans="1:7">
      <c r="A39" s="28">
        <v>37</v>
      </c>
      <c r="B39" s="29" t="s">
        <v>124</v>
      </c>
      <c r="C39" s="28" t="s">
        <v>851</v>
      </c>
      <c r="D39" s="28">
        <v>888.2</v>
      </c>
      <c r="E39" s="29" t="s">
        <v>852</v>
      </c>
      <c r="F39" s="29" t="s">
        <v>805</v>
      </c>
      <c r="G39" s="28"/>
    </row>
    <row r="40" ht="24.95" customHeight="1" spans="1:7">
      <c r="A40" s="28">
        <v>38</v>
      </c>
      <c r="B40" s="29" t="s">
        <v>125</v>
      </c>
      <c r="C40" s="28" t="s">
        <v>853</v>
      </c>
      <c r="D40" s="28">
        <v>901.6</v>
      </c>
      <c r="E40" s="29" t="s">
        <v>852</v>
      </c>
      <c r="F40" s="29" t="s">
        <v>805</v>
      </c>
      <c r="G40" s="28"/>
    </row>
    <row r="41" ht="24.95" customHeight="1" spans="1:7">
      <c r="A41" s="28">
        <v>39</v>
      </c>
      <c r="B41" s="29" t="s">
        <v>126</v>
      </c>
      <c r="C41" s="28" t="s">
        <v>854</v>
      </c>
      <c r="D41" s="28">
        <v>909.9</v>
      </c>
      <c r="E41" s="29" t="s">
        <v>855</v>
      </c>
      <c r="F41" s="29" t="s">
        <v>805</v>
      </c>
      <c r="G41" s="28"/>
    </row>
    <row r="42" ht="24.95" customHeight="1" spans="1:7">
      <c r="A42" s="28">
        <v>40</v>
      </c>
      <c r="B42" s="29" t="s">
        <v>856</v>
      </c>
      <c r="C42" s="28" t="s">
        <v>857</v>
      </c>
      <c r="D42" s="28">
        <v>918</v>
      </c>
      <c r="E42" s="29" t="s">
        <v>855</v>
      </c>
      <c r="F42" s="29" t="s">
        <v>858</v>
      </c>
      <c r="G42" s="28"/>
    </row>
    <row r="43" ht="24.95" customHeight="1" spans="1:7">
      <c r="A43" s="28">
        <v>41</v>
      </c>
      <c r="B43" s="29" t="s">
        <v>62</v>
      </c>
      <c r="C43" s="28" t="s">
        <v>859</v>
      </c>
      <c r="D43" s="28">
        <v>921.4</v>
      </c>
      <c r="E43" s="29" t="s">
        <v>860</v>
      </c>
      <c r="F43" s="29" t="s">
        <v>805</v>
      </c>
      <c r="G43" s="28"/>
    </row>
    <row r="44" ht="24.95" customHeight="1" spans="1:7">
      <c r="A44" s="28">
        <v>42</v>
      </c>
      <c r="B44" s="29"/>
      <c r="C44" s="28"/>
      <c r="D44" s="28"/>
      <c r="E44" s="28"/>
      <c r="F44" s="28"/>
      <c r="G44" s="28"/>
    </row>
    <row r="45" ht="24.95" customHeight="1" spans="1:7">
      <c r="A45" s="28">
        <v>43</v>
      </c>
      <c r="B45" s="28"/>
      <c r="C45" s="28"/>
      <c r="D45" s="28"/>
      <c r="E45" s="28"/>
      <c r="F45" s="28"/>
      <c r="G45" s="28"/>
    </row>
    <row r="46" ht="24.95" customHeight="1" spans="1:7">
      <c r="A46" s="28">
        <v>44</v>
      </c>
      <c r="B46" s="28"/>
      <c r="C46" s="28"/>
      <c r="D46" s="28"/>
      <c r="E46" s="28"/>
      <c r="F46" s="28"/>
      <c r="G46" s="28"/>
    </row>
    <row r="47" ht="24.95" customHeight="1" spans="1:7">
      <c r="A47" s="28">
        <v>45</v>
      </c>
      <c r="B47" s="28"/>
      <c r="C47" s="28"/>
      <c r="D47" s="28"/>
      <c r="E47" s="28"/>
      <c r="F47" s="28"/>
      <c r="G47" s="28"/>
    </row>
    <row r="48" ht="24.95" customHeight="1" spans="1:7">
      <c r="A48" s="28">
        <v>46</v>
      </c>
      <c r="B48" s="28"/>
      <c r="C48" s="28"/>
      <c r="D48" s="28"/>
      <c r="E48" s="28"/>
      <c r="F48" s="28"/>
      <c r="G48" s="28"/>
    </row>
    <row r="49" ht="24.95" customHeight="1" spans="1:7">
      <c r="A49" s="28">
        <v>47</v>
      </c>
      <c r="B49" s="28"/>
      <c r="C49" s="28"/>
      <c r="D49" s="28"/>
      <c r="E49" s="28"/>
      <c r="F49" s="28"/>
      <c r="G49" s="28"/>
    </row>
    <row r="50" ht="24.95" customHeight="1" spans="1:7">
      <c r="A50" s="28">
        <v>48</v>
      </c>
      <c r="B50" s="28"/>
      <c r="C50" s="28"/>
      <c r="D50" s="28"/>
      <c r="E50" s="28"/>
      <c r="F50" s="28"/>
      <c r="G50" s="28"/>
    </row>
    <row r="51" ht="24.95" customHeight="1" spans="1:7">
      <c r="A51" s="28">
        <v>49</v>
      </c>
      <c r="B51" s="28"/>
      <c r="C51" s="28"/>
      <c r="D51" s="28"/>
      <c r="E51" s="28"/>
      <c r="F51" s="28"/>
      <c r="G51" s="28"/>
    </row>
    <row r="52" ht="24.95" customHeight="1" spans="1:7">
      <c r="A52" s="28">
        <v>50</v>
      </c>
      <c r="B52" s="28"/>
      <c r="C52" s="28"/>
      <c r="D52" s="28"/>
      <c r="E52" s="28"/>
      <c r="F52" s="28"/>
      <c r="G52" s="28"/>
    </row>
    <row r="53" ht="24.95" customHeight="1" spans="1:7">
      <c r="A53" s="28">
        <v>51</v>
      </c>
      <c r="B53" s="28"/>
      <c r="C53" s="28"/>
      <c r="D53" s="28"/>
      <c r="E53" s="28"/>
      <c r="F53" s="28"/>
      <c r="G53" s="28"/>
    </row>
    <row r="54" ht="24.95" customHeight="1" spans="1:7">
      <c r="A54" s="28">
        <v>52</v>
      </c>
      <c r="B54" s="28"/>
      <c r="C54" s="28"/>
      <c r="D54" s="28"/>
      <c r="E54" s="28"/>
      <c r="F54" s="28"/>
      <c r="G54" s="28"/>
    </row>
    <row r="55" ht="24.95" customHeight="1" spans="1:7">
      <c r="A55" s="28">
        <v>53</v>
      </c>
      <c r="B55" s="28"/>
      <c r="C55" s="28"/>
      <c r="D55" s="28"/>
      <c r="E55" s="28"/>
      <c r="F55" s="28"/>
      <c r="G55" s="28"/>
    </row>
    <row r="56" ht="24.95" customHeight="1" spans="1:7">
      <c r="A56" s="28">
        <v>54</v>
      </c>
      <c r="B56" s="28"/>
      <c r="C56" s="28"/>
      <c r="D56" s="28"/>
      <c r="E56" s="28"/>
      <c r="F56" s="28"/>
      <c r="G56" s="28"/>
    </row>
    <row r="57" ht="24.95" customHeight="1" spans="1:7">
      <c r="A57" s="28">
        <v>55</v>
      </c>
      <c r="B57" s="28"/>
      <c r="C57" s="28"/>
      <c r="D57" s="28"/>
      <c r="E57" s="28"/>
      <c r="F57" s="28"/>
      <c r="G57" s="28"/>
    </row>
    <row r="58" ht="24.95" customHeight="1" spans="1:7">
      <c r="A58" s="28">
        <v>56</v>
      </c>
      <c r="B58" s="28"/>
      <c r="C58" s="28"/>
      <c r="D58" s="28"/>
      <c r="E58" s="28"/>
      <c r="F58" s="28"/>
      <c r="G58" s="28"/>
    </row>
    <row r="59" ht="24.95" customHeight="1" spans="1:7">
      <c r="A59" s="28">
        <v>57</v>
      </c>
      <c r="B59" s="28"/>
      <c r="C59" s="28"/>
      <c r="D59" s="28"/>
      <c r="E59" s="28"/>
      <c r="F59" s="28"/>
      <c r="G59" s="28"/>
    </row>
    <row r="60" ht="24.95" customHeight="1" spans="1:7">
      <c r="A60" s="28">
        <v>58</v>
      </c>
      <c r="B60" s="28"/>
      <c r="C60" s="28"/>
      <c r="D60" s="28"/>
      <c r="E60" s="28"/>
      <c r="F60" s="28"/>
      <c r="G60" s="28"/>
    </row>
    <row r="61" ht="24.95" customHeight="1" spans="1:7">
      <c r="A61" s="28">
        <v>59</v>
      </c>
      <c r="B61" s="28"/>
      <c r="C61" s="28"/>
      <c r="D61" s="28"/>
      <c r="E61" s="28"/>
      <c r="F61" s="28"/>
      <c r="G61" s="28"/>
    </row>
    <row r="62" ht="24.95" customHeight="1" spans="1:7">
      <c r="A62" s="28">
        <v>60</v>
      </c>
      <c r="B62" s="28"/>
      <c r="C62" s="28"/>
      <c r="D62" s="28"/>
      <c r="E62" s="28"/>
      <c r="F62" s="28"/>
      <c r="G62" s="28"/>
    </row>
    <row r="63" ht="24.95" customHeight="1" spans="1:7">
      <c r="A63" s="28">
        <v>61</v>
      </c>
      <c r="B63" s="28"/>
      <c r="C63" s="28"/>
      <c r="D63" s="28"/>
      <c r="E63" s="28"/>
      <c r="F63" s="28"/>
      <c r="G63" s="28"/>
    </row>
    <row r="64" ht="24.95" customHeight="1" spans="1:7">
      <c r="A64" s="28">
        <v>62</v>
      </c>
      <c r="B64" s="28"/>
      <c r="C64" s="28"/>
      <c r="D64" s="28"/>
      <c r="E64" s="28"/>
      <c r="F64" s="28"/>
      <c r="G64" s="28"/>
    </row>
    <row r="65" ht="24.95" customHeight="1" spans="1:7">
      <c r="A65" s="28">
        <v>63</v>
      </c>
      <c r="B65" s="28"/>
      <c r="C65" s="28"/>
      <c r="D65" s="28"/>
      <c r="E65" s="28"/>
      <c r="F65" s="28"/>
      <c r="G65" s="28"/>
    </row>
    <row r="66" ht="24.95" customHeight="1" spans="1:7">
      <c r="A66" s="28">
        <v>64</v>
      </c>
      <c r="B66" s="28"/>
      <c r="C66" s="28"/>
      <c r="D66" s="28"/>
      <c r="E66" s="28"/>
      <c r="F66" s="28"/>
      <c r="G66" s="28"/>
    </row>
    <row r="67" ht="24.95" customHeight="1" spans="1:7">
      <c r="A67" s="28">
        <v>65</v>
      </c>
      <c r="B67" s="28"/>
      <c r="C67" s="28"/>
      <c r="D67" s="28"/>
      <c r="E67" s="28"/>
      <c r="F67" s="28"/>
      <c r="G67" s="28"/>
    </row>
    <row r="68" ht="24.95" customHeight="1" spans="1:7">
      <c r="A68" s="28">
        <v>66</v>
      </c>
      <c r="B68" s="28"/>
      <c r="C68" s="28"/>
      <c r="D68" s="28"/>
      <c r="E68" s="28"/>
      <c r="F68" s="28"/>
      <c r="G68" s="28"/>
    </row>
    <row r="69" ht="24.95" customHeight="1" spans="1:7">
      <c r="A69" s="28">
        <v>67</v>
      </c>
      <c r="B69" s="28"/>
      <c r="C69" s="28"/>
      <c r="D69" s="28"/>
      <c r="E69" s="28"/>
      <c r="F69" s="28"/>
      <c r="G69" s="28"/>
    </row>
    <row r="70" ht="24.95" customHeight="1" spans="1:7">
      <c r="A70" s="28">
        <v>68</v>
      </c>
      <c r="B70" s="28"/>
      <c r="C70" s="28"/>
      <c r="D70" s="28"/>
      <c r="E70" s="28"/>
      <c r="F70" s="28"/>
      <c r="G70" s="28"/>
    </row>
    <row r="71" ht="24.95" customHeight="1" spans="1:7">
      <c r="A71" s="28">
        <v>69</v>
      </c>
      <c r="B71" s="28"/>
      <c r="C71" s="28"/>
      <c r="D71" s="28"/>
      <c r="E71" s="28"/>
      <c r="F71" s="28"/>
      <c r="G71" s="28"/>
    </row>
    <row r="72" ht="24.95" customHeight="1" spans="1:7">
      <c r="A72" s="28">
        <v>70</v>
      </c>
      <c r="B72" s="28"/>
      <c r="C72" s="28"/>
      <c r="D72" s="28"/>
      <c r="E72" s="28"/>
      <c r="F72" s="28"/>
      <c r="G72" s="28"/>
    </row>
    <row r="73" ht="24.95" customHeight="1" spans="1:7">
      <c r="A73" s="28">
        <v>71</v>
      </c>
      <c r="B73" s="28"/>
      <c r="C73" s="28"/>
      <c r="D73" s="28"/>
      <c r="E73" s="28"/>
      <c r="F73" s="28"/>
      <c r="G73" s="28"/>
    </row>
    <row r="74" ht="24.95" customHeight="1" spans="1:7">
      <c r="A74" s="28">
        <v>72</v>
      </c>
      <c r="B74" s="28"/>
      <c r="C74" s="28"/>
      <c r="D74" s="28"/>
      <c r="E74" s="28"/>
      <c r="F74" s="28"/>
      <c r="G74" s="28"/>
    </row>
    <row r="75" ht="24.95" customHeight="1" spans="1:7">
      <c r="A75" s="28">
        <v>73</v>
      </c>
      <c r="B75" s="28"/>
      <c r="C75" s="28"/>
      <c r="D75" s="28"/>
      <c r="E75" s="28"/>
      <c r="F75" s="28"/>
      <c r="G75" s="28"/>
    </row>
    <row r="76" ht="24.95" customHeight="1" spans="1:7">
      <c r="A76" s="28">
        <v>74</v>
      </c>
      <c r="B76" s="28"/>
      <c r="C76" s="28"/>
      <c r="D76" s="28"/>
      <c r="E76" s="28"/>
      <c r="F76" s="28"/>
      <c r="G76" s="28"/>
    </row>
    <row r="77" ht="24.95" customHeight="1" spans="1:7">
      <c r="A77" s="28">
        <v>75</v>
      </c>
      <c r="B77" s="28"/>
      <c r="C77" s="28"/>
      <c r="D77" s="28"/>
      <c r="E77" s="28"/>
      <c r="F77" s="28"/>
      <c r="G77" s="28"/>
    </row>
    <row r="78" ht="24.95" customHeight="1" spans="1:7">
      <c r="A78" s="28">
        <v>76</v>
      </c>
      <c r="B78" s="28"/>
      <c r="C78" s="28"/>
      <c r="D78" s="28"/>
      <c r="E78" s="28"/>
      <c r="F78" s="28"/>
      <c r="G78" s="28"/>
    </row>
    <row r="79" ht="24.95" customHeight="1" spans="1:7">
      <c r="A79" s="28">
        <v>77</v>
      </c>
      <c r="B79" s="28"/>
      <c r="C79" s="28"/>
      <c r="D79" s="28"/>
      <c r="E79" s="28"/>
      <c r="F79" s="28"/>
      <c r="G79" s="28"/>
    </row>
    <row r="80" ht="24.95" customHeight="1" spans="1:7">
      <c r="A80" s="28">
        <v>78</v>
      </c>
      <c r="B80" s="28"/>
      <c r="C80" s="28"/>
      <c r="D80" s="28"/>
      <c r="E80" s="28"/>
      <c r="F80" s="28"/>
      <c r="G80" s="28"/>
    </row>
    <row r="81" ht="24.95" customHeight="1" spans="1:7">
      <c r="A81" s="28">
        <v>79</v>
      </c>
      <c r="B81" s="28"/>
      <c r="C81" s="28"/>
      <c r="D81" s="28"/>
      <c r="E81" s="28"/>
      <c r="F81" s="28"/>
      <c r="G81" s="28"/>
    </row>
    <row r="82" ht="24.95" customHeight="1" spans="1:7">
      <c r="A82" s="28">
        <v>80</v>
      </c>
      <c r="B82" s="28"/>
      <c r="C82" s="28"/>
      <c r="D82" s="28"/>
      <c r="E82" s="28"/>
      <c r="F82" s="28"/>
      <c r="G82" s="28"/>
    </row>
    <row r="83" ht="24.95" customHeight="1" spans="1:7">
      <c r="A83" s="28">
        <v>81</v>
      </c>
      <c r="B83" s="28"/>
      <c r="C83" s="28"/>
      <c r="D83" s="28"/>
      <c r="E83" s="28"/>
      <c r="F83" s="28"/>
      <c r="G83" s="28"/>
    </row>
    <row r="84" ht="24.95" customHeight="1" spans="1:7">
      <c r="A84" s="28">
        <v>82</v>
      </c>
      <c r="B84" s="28"/>
      <c r="C84" s="28"/>
      <c r="D84" s="28"/>
      <c r="E84" s="28"/>
      <c r="F84" s="28"/>
      <c r="G84" s="28"/>
    </row>
    <row r="85" ht="24.95" customHeight="1" spans="1:7">
      <c r="A85" s="28">
        <v>83</v>
      </c>
      <c r="B85" s="28"/>
      <c r="C85" s="28"/>
      <c r="D85" s="28"/>
      <c r="E85" s="28"/>
      <c r="F85" s="28"/>
      <c r="G85" s="28"/>
    </row>
    <row r="86" ht="24.95" customHeight="1" spans="1:7">
      <c r="A86" s="28">
        <v>84</v>
      </c>
      <c r="B86" s="28"/>
      <c r="C86" s="28"/>
      <c r="D86" s="28"/>
      <c r="E86" s="28"/>
      <c r="F86" s="28"/>
      <c r="G86" s="28"/>
    </row>
    <row r="87" ht="24.95" customHeight="1" spans="1:7">
      <c r="A87" s="28">
        <v>85</v>
      </c>
      <c r="B87" s="28"/>
      <c r="C87" s="28"/>
      <c r="D87" s="28"/>
      <c r="E87" s="28"/>
      <c r="F87" s="28"/>
      <c r="G87" s="28"/>
    </row>
    <row r="88" ht="24.95" customHeight="1" spans="1:7">
      <c r="A88" s="28">
        <v>86</v>
      </c>
      <c r="B88" s="28"/>
      <c r="C88" s="28"/>
      <c r="D88" s="28"/>
      <c r="E88" s="28"/>
      <c r="F88" s="28"/>
      <c r="G88" s="28"/>
    </row>
    <row r="89" ht="24.95" customHeight="1"/>
  </sheetData>
  <mergeCells count="1">
    <mergeCell ref="A1:G1"/>
  </mergeCells>
  <pageMargins left="0.699305555555556" right="0.699305555555556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P24"/>
  <sheetViews>
    <sheetView workbookViewId="0">
      <selection activeCell="K24" sqref="K24"/>
    </sheetView>
  </sheetViews>
  <sheetFormatPr defaultColWidth="9" defaultRowHeight="15"/>
  <cols>
    <col min="13" max="13" width="9.5" customWidth="1"/>
    <col min="14" max="14" width="10.25" style="4" customWidth="1"/>
    <col min="269" max="269" width="9.5" customWidth="1"/>
    <col min="270" max="270" width="10.25" customWidth="1"/>
    <col min="525" max="525" width="9.5" customWidth="1"/>
    <col min="526" max="526" width="10.25" customWidth="1"/>
    <col min="781" max="781" width="9.5" customWidth="1"/>
    <col min="782" max="782" width="10.25" customWidth="1"/>
    <col min="1037" max="1037" width="9.5" customWidth="1"/>
    <col min="1038" max="1038" width="10.25" customWidth="1"/>
    <col min="1293" max="1293" width="9.5" customWidth="1"/>
    <col min="1294" max="1294" width="10.25" customWidth="1"/>
    <col min="1549" max="1549" width="9.5" customWidth="1"/>
    <col min="1550" max="1550" width="10.25" customWidth="1"/>
    <col min="1805" max="1805" width="9.5" customWidth="1"/>
    <col min="1806" max="1806" width="10.25" customWidth="1"/>
    <col min="2061" max="2061" width="9.5" customWidth="1"/>
    <col min="2062" max="2062" width="10.25" customWidth="1"/>
    <col min="2317" max="2317" width="9.5" customWidth="1"/>
    <col min="2318" max="2318" width="10.25" customWidth="1"/>
    <col min="2573" max="2573" width="9.5" customWidth="1"/>
    <col min="2574" max="2574" width="10.25" customWidth="1"/>
    <col min="2829" max="2829" width="9.5" customWidth="1"/>
    <col min="2830" max="2830" width="10.25" customWidth="1"/>
    <col min="3085" max="3085" width="9.5" customWidth="1"/>
    <col min="3086" max="3086" width="10.25" customWidth="1"/>
    <col min="3341" max="3341" width="9.5" customWidth="1"/>
    <col min="3342" max="3342" width="10.25" customWidth="1"/>
    <col min="3597" max="3597" width="9.5" customWidth="1"/>
    <col min="3598" max="3598" width="10.25" customWidth="1"/>
    <col min="3853" max="3853" width="9.5" customWidth="1"/>
    <col min="3854" max="3854" width="10.25" customWidth="1"/>
    <col min="4109" max="4109" width="9.5" customWidth="1"/>
    <col min="4110" max="4110" width="10.25" customWidth="1"/>
    <col min="4365" max="4365" width="9.5" customWidth="1"/>
    <col min="4366" max="4366" width="10.25" customWidth="1"/>
    <col min="4621" max="4621" width="9.5" customWidth="1"/>
    <col min="4622" max="4622" width="10.25" customWidth="1"/>
    <col min="4877" max="4877" width="9.5" customWidth="1"/>
    <col min="4878" max="4878" width="10.25" customWidth="1"/>
    <col min="5133" max="5133" width="9.5" customWidth="1"/>
    <col min="5134" max="5134" width="10.25" customWidth="1"/>
    <col min="5389" max="5389" width="9.5" customWidth="1"/>
    <col min="5390" max="5390" width="10.25" customWidth="1"/>
    <col min="5645" max="5645" width="9.5" customWidth="1"/>
    <col min="5646" max="5646" width="10.25" customWidth="1"/>
    <col min="5901" max="5901" width="9.5" customWidth="1"/>
    <col min="5902" max="5902" width="10.25" customWidth="1"/>
    <col min="6157" max="6157" width="9.5" customWidth="1"/>
    <col min="6158" max="6158" width="10.25" customWidth="1"/>
    <col min="6413" max="6413" width="9.5" customWidth="1"/>
    <col min="6414" max="6414" width="10.25" customWidth="1"/>
    <col min="6669" max="6669" width="9.5" customWidth="1"/>
    <col min="6670" max="6670" width="10.25" customWidth="1"/>
    <col min="6925" max="6925" width="9.5" customWidth="1"/>
    <col min="6926" max="6926" width="10.25" customWidth="1"/>
    <col min="7181" max="7181" width="9.5" customWidth="1"/>
    <col min="7182" max="7182" width="10.25" customWidth="1"/>
    <col min="7437" max="7437" width="9.5" customWidth="1"/>
    <col min="7438" max="7438" width="10.25" customWidth="1"/>
    <col min="7693" max="7693" width="9.5" customWidth="1"/>
    <col min="7694" max="7694" width="10.25" customWidth="1"/>
    <col min="7949" max="7949" width="9.5" customWidth="1"/>
    <col min="7950" max="7950" width="10.25" customWidth="1"/>
    <col min="8205" max="8205" width="9.5" customWidth="1"/>
    <col min="8206" max="8206" width="10.25" customWidth="1"/>
    <col min="8461" max="8461" width="9.5" customWidth="1"/>
    <col min="8462" max="8462" width="10.25" customWidth="1"/>
    <col min="8717" max="8717" width="9.5" customWidth="1"/>
    <col min="8718" max="8718" width="10.25" customWidth="1"/>
    <col min="8973" max="8973" width="9.5" customWidth="1"/>
    <col min="8974" max="8974" width="10.25" customWidth="1"/>
    <col min="9229" max="9229" width="9.5" customWidth="1"/>
    <col min="9230" max="9230" width="10.25" customWidth="1"/>
    <col min="9485" max="9485" width="9.5" customWidth="1"/>
    <col min="9486" max="9486" width="10.25" customWidth="1"/>
    <col min="9741" max="9741" width="9.5" customWidth="1"/>
    <col min="9742" max="9742" width="10.25" customWidth="1"/>
    <col min="9997" max="9997" width="9.5" customWidth="1"/>
    <col min="9998" max="9998" width="10.25" customWidth="1"/>
    <col min="10253" max="10253" width="9.5" customWidth="1"/>
    <col min="10254" max="10254" width="10.25" customWidth="1"/>
    <col min="10509" max="10509" width="9.5" customWidth="1"/>
    <col min="10510" max="10510" width="10.25" customWidth="1"/>
    <col min="10765" max="10765" width="9.5" customWidth="1"/>
    <col min="10766" max="10766" width="10.25" customWidth="1"/>
    <col min="11021" max="11021" width="9.5" customWidth="1"/>
    <col min="11022" max="11022" width="10.25" customWidth="1"/>
    <col min="11277" max="11277" width="9.5" customWidth="1"/>
    <col min="11278" max="11278" width="10.25" customWidth="1"/>
    <col min="11533" max="11533" width="9.5" customWidth="1"/>
    <col min="11534" max="11534" width="10.25" customWidth="1"/>
    <col min="11789" max="11789" width="9.5" customWidth="1"/>
    <col min="11790" max="11790" width="10.25" customWidth="1"/>
    <col min="12045" max="12045" width="9.5" customWidth="1"/>
    <col min="12046" max="12046" width="10.25" customWidth="1"/>
    <col min="12301" max="12301" width="9.5" customWidth="1"/>
    <col min="12302" max="12302" width="10.25" customWidth="1"/>
    <col min="12557" max="12557" width="9.5" customWidth="1"/>
    <col min="12558" max="12558" width="10.25" customWidth="1"/>
    <col min="12813" max="12813" width="9.5" customWidth="1"/>
    <col min="12814" max="12814" width="10.25" customWidth="1"/>
    <col min="13069" max="13069" width="9.5" customWidth="1"/>
    <col min="13070" max="13070" width="10.25" customWidth="1"/>
    <col min="13325" max="13325" width="9.5" customWidth="1"/>
    <col min="13326" max="13326" width="10.25" customWidth="1"/>
    <col min="13581" max="13581" width="9.5" customWidth="1"/>
    <col min="13582" max="13582" width="10.25" customWidth="1"/>
    <col min="13837" max="13837" width="9.5" customWidth="1"/>
    <col min="13838" max="13838" width="10.25" customWidth="1"/>
    <col min="14093" max="14093" width="9.5" customWidth="1"/>
    <col min="14094" max="14094" width="10.25" customWidth="1"/>
    <col min="14349" max="14349" width="9.5" customWidth="1"/>
    <col min="14350" max="14350" width="10.25" customWidth="1"/>
    <col min="14605" max="14605" width="9.5" customWidth="1"/>
    <col min="14606" max="14606" width="10.25" customWidth="1"/>
    <col min="14861" max="14861" width="9.5" customWidth="1"/>
    <col min="14862" max="14862" width="10.25" customWidth="1"/>
    <col min="15117" max="15117" width="9.5" customWidth="1"/>
    <col min="15118" max="15118" width="10.25" customWidth="1"/>
    <col min="15373" max="15373" width="9.5" customWidth="1"/>
    <col min="15374" max="15374" width="10.25" customWidth="1"/>
    <col min="15629" max="15629" width="9.5" customWidth="1"/>
    <col min="15630" max="15630" width="10.25" customWidth="1"/>
    <col min="15885" max="15885" width="9.5" customWidth="1"/>
    <col min="15886" max="15886" width="10.25" customWidth="1"/>
    <col min="16141" max="16141" width="9.5" customWidth="1"/>
    <col min="16142" max="16142" width="10.25" customWidth="1"/>
  </cols>
  <sheetData>
    <row r="1" ht="18.75" spans="1:14">
      <c r="A1" s="5" t="s">
        <v>861</v>
      </c>
      <c r="B1" s="5"/>
      <c r="C1" s="5"/>
      <c r="H1" s="6" t="s">
        <v>862</v>
      </c>
      <c r="I1" s="14"/>
      <c r="J1" s="14"/>
      <c r="K1" s="14"/>
      <c r="L1" s="14"/>
      <c r="M1" s="14"/>
      <c r="N1" s="15"/>
    </row>
    <row r="2" ht="16.25" spans="1:14">
      <c r="A2" s="7" t="s">
        <v>863</v>
      </c>
      <c r="B2" s="8" t="s">
        <v>42</v>
      </c>
      <c r="C2" s="8" t="s">
        <v>863</v>
      </c>
      <c r="D2" s="8" t="s">
        <v>42</v>
      </c>
      <c r="E2" s="8" t="s">
        <v>863</v>
      </c>
      <c r="F2" s="8" t="s">
        <v>42</v>
      </c>
      <c r="H2" s="9" t="s">
        <v>864</v>
      </c>
      <c r="I2" s="7" t="s">
        <v>863</v>
      </c>
      <c r="J2" s="8" t="s">
        <v>42</v>
      </c>
      <c r="K2" s="8" t="s">
        <v>863</v>
      </c>
      <c r="L2" s="8" t="s">
        <v>42</v>
      </c>
      <c r="M2" s="16" t="s">
        <v>863</v>
      </c>
      <c r="N2" s="17" t="s">
        <v>42</v>
      </c>
    </row>
    <row r="3" ht="16.25" spans="1:14">
      <c r="A3" s="10">
        <v>2</v>
      </c>
      <c r="B3" s="11">
        <v>0.9532</v>
      </c>
      <c r="C3" s="12">
        <v>5</v>
      </c>
      <c r="D3" s="11">
        <v>0.8903</v>
      </c>
      <c r="E3" s="12">
        <v>8</v>
      </c>
      <c r="F3" s="11">
        <v>0.8377</v>
      </c>
      <c r="H3" s="13" t="s">
        <v>865</v>
      </c>
      <c r="I3" s="13">
        <v>0</v>
      </c>
      <c r="J3" s="13">
        <v>1</v>
      </c>
      <c r="K3" s="13">
        <v>1</v>
      </c>
      <c r="L3" s="13">
        <v>0.9766</v>
      </c>
      <c r="M3" s="13">
        <v>0.23</v>
      </c>
      <c r="N3" s="18">
        <f t="shared" ref="N3:N24" si="0">IF(M3="","",(L3-J3)/(K3-I3)*(M3-I3)+J3)</f>
        <v>0.994618</v>
      </c>
    </row>
    <row r="4" ht="16.25" spans="1:14">
      <c r="A4" s="10">
        <v>2.5</v>
      </c>
      <c r="B4" s="11">
        <v>0.9423</v>
      </c>
      <c r="C4" s="12">
        <v>5.5</v>
      </c>
      <c r="D4" s="11">
        <v>0.8806</v>
      </c>
      <c r="E4" s="12">
        <v>8.5</v>
      </c>
      <c r="F4" s="11">
        <v>0.8305</v>
      </c>
      <c r="H4" s="13" t="s">
        <v>866</v>
      </c>
      <c r="I4" s="13">
        <v>1</v>
      </c>
      <c r="J4" s="13">
        <v>0.9766</v>
      </c>
      <c r="K4" s="10">
        <v>2</v>
      </c>
      <c r="L4" s="11">
        <v>0.9532</v>
      </c>
      <c r="M4" s="13"/>
      <c r="N4" s="18" t="str">
        <f t="shared" si="0"/>
        <v/>
      </c>
    </row>
    <row r="5" ht="16.25" spans="1:14">
      <c r="A5" s="10">
        <v>3</v>
      </c>
      <c r="B5" s="11">
        <v>0.9315</v>
      </c>
      <c r="C5" s="12">
        <v>6</v>
      </c>
      <c r="D5" s="11">
        <v>0.8713</v>
      </c>
      <c r="E5" s="12">
        <v>9</v>
      </c>
      <c r="F5" s="11">
        <v>0.8228</v>
      </c>
      <c r="H5" s="13" t="s">
        <v>867</v>
      </c>
      <c r="I5" s="10">
        <v>2</v>
      </c>
      <c r="J5" s="11">
        <v>0.9532</v>
      </c>
      <c r="K5" s="10">
        <v>2.5</v>
      </c>
      <c r="L5" s="11">
        <v>0.9423</v>
      </c>
      <c r="M5" s="13"/>
      <c r="N5" s="18" t="str">
        <f t="shared" si="0"/>
        <v/>
      </c>
    </row>
    <row r="6" ht="16.25" spans="1:16">
      <c r="A6" s="10">
        <v>3.5</v>
      </c>
      <c r="B6" s="11">
        <v>0.9209</v>
      </c>
      <c r="C6" s="12">
        <v>6.5</v>
      </c>
      <c r="D6" s="11">
        <v>0.8623</v>
      </c>
      <c r="E6" s="12">
        <v>9.5</v>
      </c>
      <c r="F6" s="11">
        <v>0.8177</v>
      </c>
      <c r="H6" s="13" t="s">
        <v>868</v>
      </c>
      <c r="I6" s="10">
        <v>2.5</v>
      </c>
      <c r="J6" s="11">
        <v>0.9423</v>
      </c>
      <c r="K6" s="10">
        <v>3</v>
      </c>
      <c r="L6" s="11">
        <v>0.9315</v>
      </c>
      <c r="M6" s="13"/>
      <c r="N6" s="18" t="str">
        <f t="shared" si="0"/>
        <v/>
      </c>
      <c r="P6" s="4"/>
    </row>
    <row r="7" ht="16.25" spans="1:14">
      <c r="A7" s="10">
        <v>4</v>
      </c>
      <c r="B7" s="11">
        <v>0.9105</v>
      </c>
      <c r="C7" s="12">
        <v>7</v>
      </c>
      <c r="D7" s="11">
        <v>0.8537</v>
      </c>
      <c r="E7" s="12">
        <v>9.9</v>
      </c>
      <c r="F7" s="11">
        <v>0.8132</v>
      </c>
      <c r="H7" s="13" t="s">
        <v>869</v>
      </c>
      <c r="I7" s="10">
        <v>3</v>
      </c>
      <c r="J7" s="11">
        <v>0.9315</v>
      </c>
      <c r="K7" s="10">
        <v>3.5</v>
      </c>
      <c r="L7" s="11">
        <v>0.9209</v>
      </c>
      <c r="M7" s="13">
        <v>3.42</v>
      </c>
      <c r="N7" s="18">
        <f t="shared" si="0"/>
        <v>0.922596</v>
      </c>
    </row>
    <row r="8" ht="16.25" spans="1:14">
      <c r="A8" s="10">
        <v>4.5</v>
      </c>
      <c r="B8" s="11">
        <v>0.9003</v>
      </c>
      <c r="C8" s="12">
        <v>7.5</v>
      </c>
      <c r="D8" s="11">
        <v>0.8455</v>
      </c>
      <c r="E8" s="12"/>
      <c r="F8" s="11"/>
      <c r="H8" s="13" t="s">
        <v>870</v>
      </c>
      <c r="I8" s="10">
        <v>3.5</v>
      </c>
      <c r="J8" s="11">
        <v>0.9209</v>
      </c>
      <c r="K8" s="10">
        <v>4</v>
      </c>
      <c r="L8" s="11">
        <v>0.9105</v>
      </c>
      <c r="M8" s="13"/>
      <c r="N8" s="18" t="str">
        <f t="shared" si="0"/>
        <v/>
      </c>
    </row>
    <row r="9" ht="16.25" spans="1:14">
      <c r="A9" s="10">
        <v>0</v>
      </c>
      <c r="B9" s="11">
        <v>1</v>
      </c>
      <c r="H9" s="13" t="s">
        <v>871</v>
      </c>
      <c r="I9" s="10">
        <v>4</v>
      </c>
      <c r="J9" s="11">
        <v>0.9105</v>
      </c>
      <c r="K9" s="10">
        <v>4.5</v>
      </c>
      <c r="L9" s="11">
        <v>0.9003</v>
      </c>
      <c r="M9" s="13">
        <v>4.21</v>
      </c>
      <c r="N9" s="18">
        <f t="shared" si="0"/>
        <v>0.906216</v>
      </c>
    </row>
    <row r="10" ht="16.25" spans="8:14">
      <c r="H10" s="13" t="s">
        <v>872</v>
      </c>
      <c r="I10" s="10">
        <v>4.5</v>
      </c>
      <c r="J10" s="11">
        <v>0.9003</v>
      </c>
      <c r="K10" s="12">
        <v>5</v>
      </c>
      <c r="L10" s="11">
        <v>0.8903</v>
      </c>
      <c r="M10" s="13">
        <v>4.65</v>
      </c>
      <c r="N10" s="18">
        <f t="shared" si="0"/>
        <v>0.8973</v>
      </c>
    </row>
    <row r="11" ht="16.25" spans="8:14">
      <c r="H11" s="13" t="s">
        <v>873</v>
      </c>
      <c r="I11" s="12">
        <v>5</v>
      </c>
      <c r="J11" s="11">
        <v>0.8903</v>
      </c>
      <c r="K11" s="12">
        <v>5.5</v>
      </c>
      <c r="L11" s="11">
        <v>0.8806</v>
      </c>
      <c r="M11" s="13">
        <v>8.26</v>
      </c>
      <c r="N11" s="18">
        <f t="shared" si="0"/>
        <v>0.827056</v>
      </c>
    </row>
    <row r="12" ht="16.25" spans="8:14">
      <c r="H12" s="13" t="s">
        <v>874</v>
      </c>
      <c r="I12" s="12">
        <v>5.5</v>
      </c>
      <c r="J12" s="11">
        <v>0.8806</v>
      </c>
      <c r="K12" s="12">
        <v>6</v>
      </c>
      <c r="L12" s="11">
        <v>0.8713</v>
      </c>
      <c r="M12" s="13"/>
      <c r="N12" s="18" t="str">
        <f t="shared" si="0"/>
        <v/>
      </c>
    </row>
    <row r="13" ht="16.25" spans="8:14">
      <c r="H13" s="13" t="s">
        <v>875</v>
      </c>
      <c r="I13" s="12">
        <v>6</v>
      </c>
      <c r="J13" s="11">
        <v>0.8713</v>
      </c>
      <c r="K13" s="12">
        <v>6.5</v>
      </c>
      <c r="L13" s="11">
        <v>0.8623</v>
      </c>
      <c r="M13" s="13">
        <v>6.18</v>
      </c>
      <c r="N13" s="18">
        <f t="shared" si="0"/>
        <v>0.86806</v>
      </c>
    </row>
    <row r="14" ht="16.25" spans="8:14">
      <c r="H14" s="13" t="s">
        <v>876</v>
      </c>
      <c r="I14" s="12">
        <v>6.5</v>
      </c>
      <c r="J14" s="11">
        <v>0.8623</v>
      </c>
      <c r="K14" s="12">
        <v>7</v>
      </c>
      <c r="L14" s="11">
        <v>0.8537</v>
      </c>
      <c r="M14" s="19">
        <v>6.88</v>
      </c>
      <c r="N14" s="18">
        <f t="shared" si="0"/>
        <v>0.855764</v>
      </c>
    </row>
    <row r="15" ht="16.25" spans="8:14">
      <c r="H15" s="13" t="s">
        <v>877</v>
      </c>
      <c r="I15" s="12">
        <v>7</v>
      </c>
      <c r="J15" s="11">
        <v>0.8537</v>
      </c>
      <c r="K15" s="12">
        <v>7.5</v>
      </c>
      <c r="L15" s="11">
        <v>0.8455</v>
      </c>
      <c r="M15" s="13">
        <v>7.11</v>
      </c>
      <c r="N15" s="18">
        <f t="shared" si="0"/>
        <v>0.851896</v>
      </c>
    </row>
    <row r="16" ht="16.25" spans="8:14">
      <c r="H16" s="13" t="s">
        <v>878</v>
      </c>
      <c r="I16" s="12">
        <v>7.5</v>
      </c>
      <c r="J16" s="11">
        <v>0.8455</v>
      </c>
      <c r="K16" s="12">
        <v>8</v>
      </c>
      <c r="L16" s="11">
        <v>0.8377</v>
      </c>
      <c r="M16" s="13">
        <v>7.59</v>
      </c>
      <c r="N16" s="18">
        <f t="shared" si="0"/>
        <v>0.844096</v>
      </c>
    </row>
    <row r="17" ht="16.25" spans="8:14">
      <c r="H17" s="13" t="s">
        <v>879</v>
      </c>
      <c r="I17" s="12">
        <v>8</v>
      </c>
      <c r="J17" s="11">
        <v>0.8377</v>
      </c>
      <c r="K17" s="12">
        <v>8.5</v>
      </c>
      <c r="L17" s="11">
        <v>0.8305</v>
      </c>
      <c r="M17" s="13">
        <v>8</v>
      </c>
      <c r="N17" s="18">
        <f t="shared" si="0"/>
        <v>0.8377</v>
      </c>
    </row>
    <row r="18" ht="16.25" spans="8:14">
      <c r="H18" s="13" t="s">
        <v>880</v>
      </c>
      <c r="I18" s="12">
        <v>8.5</v>
      </c>
      <c r="J18" s="11">
        <v>0.8305</v>
      </c>
      <c r="K18" s="12">
        <v>9</v>
      </c>
      <c r="L18" s="11">
        <v>0.8228</v>
      </c>
      <c r="M18" s="13">
        <v>8.611</v>
      </c>
      <c r="N18" s="18">
        <f t="shared" si="0"/>
        <v>0.8287906</v>
      </c>
    </row>
    <row r="19" ht="16.25" spans="8:14">
      <c r="H19" s="13" t="s">
        <v>881</v>
      </c>
      <c r="I19" s="12">
        <v>9</v>
      </c>
      <c r="J19" s="11">
        <v>0.8228</v>
      </c>
      <c r="K19" s="12">
        <v>9.5</v>
      </c>
      <c r="L19" s="11">
        <v>0.8177</v>
      </c>
      <c r="M19" s="19">
        <v>9.28</v>
      </c>
      <c r="N19" s="18">
        <f t="shared" si="0"/>
        <v>0.819944</v>
      </c>
    </row>
    <row r="20" ht="16.25" spans="8:14">
      <c r="H20" s="13" t="s">
        <v>882</v>
      </c>
      <c r="I20" s="12">
        <v>9.5</v>
      </c>
      <c r="J20" s="11">
        <v>0.8177</v>
      </c>
      <c r="K20" s="12">
        <v>9.9</v>
      </c>
      <c r="L20" s="11">
        <v>0.8132</v>
      </c>
      <c r="M20" s="13">
        <v>9.55</v>
      </c>
      <c r="N20" s="18">
        <f t="shared" si="0"/>
        <v>0.8171375</v>
      </c>
    </row>
    <row r="21" ht="16.25" spans="8:14">
      <c r="H21" s="13" t="s">
        <v>883</v>
      </c>
      <c r="I21" s="12">
        <v>9.9</v>
      </c>
      <c r="J21" s="11">
        <v>0.8132</v>
      </c>
      <c r="K21" s="12">
        <v>10</v>
      </c>
      <c r="L21" s="11">
        <v>0.8128</v>
      </c>
      <c r="M21" s="13">
        <v>9.92</v>
      </c>
      <c r="N21" s="18">
        <f t="shared" si="0"/>
        <v>0.81312</v>
      </c>
    </row>
    <row r="22" ht="16.25" spans="8:14">
      <c r="H22" s="13" t="s">
        <v>884</v>
      </c>
      <c r="I22" s="12">
        <v>10</v>
      </c>
      <c r="J22" s="11">
        <v>0.8128</v>
      </c>
      <c r="K22" s="12">
        <v>10.5</v>
      </c>
      <c r="L22" s="11">
        <v>0.8063</v>
      </c>
      <c r="M22" s="13">
        <v>10.15</v>
      </c>
      <c r="N22" s="18">
        <f t="shared" si="0"/>
        <v>0.81085</v>
      </c>
    </row>
    <row r="23" ht="16.25" spans="8:14">
      <c r="H23" s="13" t="s">
        <v>885</v>
      </c>
      <c r="I23" s="12">
        <v>10.5</v>
      </c>
      <c r="J23" s="11">
        <v>0.8063</v>
      </c>
      <c r="K23" s="12">
        <v>11</v>
      </c>
      <c r="L23" s="11">
        <v>0.8003</v>
      </c>
      <c r="M23" s="13">
        <v>10.94</v>
      </c>
      <c r="N23" s="18">
        <f t="shared" si="0"/>
        <v>0.80102</v>
      </c>
    </row>
    <row r="24" ht="16.25" spans="8:14">
      <c r="H24" s="13"/>
      <c r="I24" s="12"/>
      <c r="J24" s="11"/>
      <c r="K24" s="12"/>
      <c r="L24" s="11"/>
      <c r="M24" s="13"/>
      <c r="N24" s="18" t="str">
        <f t="shared" si="0"/>
        <v/>
      </c>
    </row>
  </sheetData>
  <mergeCells count="2">
    <mergeCell ref="A1:C1"/>
    <mergeCell ref="H1:N1"/>
  </mergeCells>
  <pageMargins left="0.75" right="0.75" top="1" bottom="1" header="0.5" footer="0.5"/>
  <pageSetup paperSize="9" orientation="portrait"/>
  <headerFooter alignWithMargins="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4"/>
  <dimension ref="A1:D2"/>
  <sheetViews>
    <sheetView workbookViewId="0">
      <selection activeCell="K24" sqref="K24"/>
    </sheetView>
  </sheetViews>
  <sheetFormatPr defaultColWidth="9" defaultRowHeight="15" outlineLevelRow="1" outlineLevelCol="3"/>
  <cols>
    <col min="1" max="1" width="11.75" style="1" customWidth="1"/>
    <col min="2" max="2" width="15.5" style="1" customWidth="1"/>
    <col min="3" max="3" width="27.75" style="1" customWidth="1"/>
    <col min="4" max="4" width="35.75" style="1" customWidth="1"/>
    <col min="5" max="16384" width="9" style="1"/>
  </cols>
  <sheetData>
    <row r="1" spans="1:4">
      <c r="A1" s="2" t="s">
        <v>886</v>
      </c>
      <c r="B1" s="2" t="s">
        <v>887</v>
      </c>
      <c r="C1" s="2" t="s">
        <v>888</v>
      </c>
      <c r="D1" s="2" t="s">
        <v>889</v>
      </c>
    </row>
    <row r="2" ht="17.5" spans="1:4">
      <c r="A2" s="2">
        <v>3000</v>
      </c>
      <c r="B2" s="2">
        <v>70</v>
      </c>
      <c r="C2" s="3">
        <v>45702.5069444444</v>
      </c>
      <c r="D2" s="3">
        <f>(A2/B2/24)+C2</f>
        <v>45704.2926587301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SkyUN.Org</Company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液体计算</vt:lpstr>
      <vt:lpstr>气体计算</vt:lpstr>
      <vt:lpstr>石兰线</vt:lpstr>
      <vt:lpstr>鄯兰线</vt:lpstr>
      <vt:lpstr>兰成线</vt:lpstr>
      <vt:lpstr>乌兰线</vt:lpstr>
      <vt:lpstr>兰成渝</vt:lpstr>
      <vt:lpstr>兰郑长</vt:lpstr>
      <vt:lpstr>西一线</vt:lpstr>
      <vt:lpstr>西二线</vt:lpstr>
      <vt:lpstr>西三线</vt:lpstr>
      <vt:lpstr>西四线</vt:lpstr>
      <vt:lpstr>涩宁兰一线</vt:lpstr>
      <vt:lpstr>涩宁兰复线</vt:lpstr>
      <vt:lpstr>压缩因子</vt:lpstr>
      <vt:lpstr>油品分输时间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李龙冬</dc:creator>
  <cp:lastModifiedBy> </cp:lastModifiedBy>
  <dcterms:created xsi:type="dcterms:W3CDTF">2015-11-25T04:34:00Z</dcterms:created>
  <dcterms:modified xsi:type="dcterms:W3CDTF">2026-04-16T03:04:59Z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2052-12.8.2.21555</vt:lpwstr>
  </property>
  <property fmtid="{D5CDD505-2E9C-101B-9397-08002B2CF9AE}" pid="3" name="ICV">
    <vt:lpwstr>2F5FD05F950B4E04A6AEF275B44DEBA5</vt:lpwstr>
  </property>
</Properties>
</file>